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aw_Data" sheetId="2" state="visible" r:id="rId4"/>
    <sheet name="Products" sheetId="3" state="visible" r:id="rId5"/>
    <sheet name="KPIs" sheetId="4" state="visible" r:id="rId6"/>
    <sheet name="Top_Customers" sheetId="5" state="visible" r:id="rId7"/>
    <sheet name="Top_Products" sheetId="6" state="visible" r:id="rId8"/>
    <sheet name="City_Analysis" sheetId="7" state="visible" r:id="rId9"/>
    <sheet name="Coupon_Analysis" sheetId="8" state="visible" r:id="rId10"/>
    <sheet name="Month_Gend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<sst xmlns="http://schemas.openxmlformats.org/spreadsheetml/2006/main" count="7332" uniqueCount="2558">
  <si>
    <t xml:space="preserve">ELECTRONICS SALES &amp; DELIVERY ANALYTICS DASHBOARD</t>
  </si>
  <si>
    <t xml:space="preserve">Total Orders
=KPIs!B7</t>
  </si>
  <si>
    <t xml:space="preserve">Total Sales
=KPIs!B16</t>
  </si>
  <si>
    <t xml:space="preserve">Avg Delivery Days
=KPIs!B8</t>
  </si>
  <si>
    <t xml:space="preserve">Unique Customers
=KPIs!B4</t>
  </si>
  <si>
    <t xml:space="preserve">Customer_ID</t>
  </si>
  <si>
    <t xml:space="preserve">First_Name</t>
  </si>
  <si>
    <t xml:space="preserve">Last_Name</t>
  </si>
  <si>
    <t xml:space="preserve">Age</t>
  </si>
  <si>
    <t xml:space="preserve">Gender</t>
  </si>
  <si>
    <t xml:space="preserve">City</t>
  </si>
  <si>
    <t xml:space="preserve">Email</t>
  </si>
  <si>
    <t xml:space="preserve">Address</t>
  </si>
  <si>
    <t xml:space="preserve">Order_ID</t>
  </si>
  <si>
    <t xml:space="preserve">Order_Date</t>
  </si>
  <si>
    <t xml:space="preserve">Order_Time</t>
  </si>
  <si>
    <t xml:space="preserve">Product_ID</t>
  </si>
  <si>
    <t xml:space="preserve">Price</t>
  </si>
  <si>
    <t xml:space="preserve">Quantity</t>
  </si>
  <si>
    <t xml:space="preserve">Coupon_Code</t>
  </si>
  <si>
    <t xml:space="preserve">Estimated_Days_to_Deliver</t>
  </si>
  <si>
    <t xml:space="preserve">Delivery_Charge</t>
  </si>
  <si>
    <t xml:space="preserve">Delivery_Date</t>
  </si>
  <si>
    <t xml:space="preserve">Delivery_Time</t>
  </si>
  <si>
    <t xml:space="preserve">Days_to_Deliver</t>
  </si>
  <si>
    <t xml:space="preserve">Amount</t>
  </si>
  <si>
    <t xml:space="preserve">Discount_Percent</t>
  </si>
  <si>
    <t xml:space="preserve">Discounted_Amount</t>
  </si>
  <si>
    <t xml:space="preserve">Amount_with_Delivery_Charge</t>
  </si>
  <si>
    <t xml:space="preserve">Full_Name</t>
  </si>
  <si>
    <t xml:space="preserve">Delivery_Status</t>
  </si>
  <si>
    <t xml:space="preserve">Order_Month</t>
  </si>
  <si>
    <t xml:space="preserve">Product_Name</t>
  </si>
  <si>
    <t xml:space="preserve">C1008</t>
  </si>
  <si>
    <t xml:space="preserve">Diya</t>
  </si>
  <si>
    <t xml:space="preserve">Sharma</t>
  </si>
  <si>
    <t xml:space="preserve">Male</t>
  </si>
  <si>
    <t xml:space="preserve">Mumbai</t>
  </si>
  <si>
    <t xml:space="preserve">diya.sharma1@example.com</t>
  </si>
  <si>
    <t xml:space="preserve">12 Park Road</t>
  </si>
  <si>
    <t xml:space="preserve">O00001</t>
  </si>
  <si>
    <t xml:space="preserve">11:32</t>
  </si>
  <si>
    <t xml:space="preserve">P103</t>
  </si>
  <si>
    <t xml:space="preserve">FLAT20</t>
  </si>
  <si>
    <t xml:space="preserve">18:01</t>
  </si>
  <si>
    <t xml:space="preserve">C1088</t>
  </si>
  <si>
    <t xml:space="preserve">Sanjana</t>
  </si>
  <si>
    <t xml:space="preserve">Verma</t>
  </si>
  <si>
    <t xml:space="preserve">Female</t>
  </si>
  <si>
    <t xml:space="preserve">sanjana.verma2@example.com</t>
  </si>
  <si>
    <t xml:space="preserve">36 Park Road</t>
  </si>
  <si>
    <t xml:space="preserve">O00002</t>
  </si>
  <si>
    <t xml:space="preserve">11:48</t>
  </si>
  <si>
    <t xml:space="preserve">P108</t>
  </si>
  <si>
    <t xml:space="preserve">DEL0</t>
  </si>
  <si>
    <t xml:space="preserve">14:06</t>
  </si>
  <si>
    <t xml:space="preserve">C1021</t>
  </si>
  <si>
    <t xml:space="preserve">Arjun</t>
  </si>
  <si>
    <t xml:space="preserve">Iyer</t>
  </si>
  <si>
    <t xml:space="preserve">Delhi</t>
  </si>
  <si>
    <t xml:space="preserve">arjun.iyer3@example.com</t>
  </si>
  <si>
    <t xml:space="preserve">71 Main Road</t>
  </si>
  <si>
    <t xml:space="preserve">O00003</t>
  </si>
  <si>
    <t xml:space="preserve">21:40</t>
  </si>
  <si>
    <t xml:space="preserve">P110</t>
  </si>
  <si>
    <t xml:space="preserve">18:56</t>
  </si>
  <si>
    <t xml:space="preserve">C1163</t>
  </si>
  <si>
    <t xml:space="preserve">Priya</t>
  </si>
  <si>
    <t xml:space="preserve">priya.verma4@example.com</t>
  </si>
  <si>
    <t xml:space="preserve">47 Park Road</t>
  </si>
  <si>
    <t xml:space="preserve">O00004</t>
  </si>
  <si>
    <t xml:space="preserve">13:22</t>
  </si>
  <si>
    <t xml:space="preserve">P105</t>
  </si>
  <si>
    <t xml:space="preserve">12:42</t>
  </si>
  <si>
    <t xml:space="preserve">C1084</t>
  </si>
  <si>
    <t xml:space="preserve">Vikram</t>
  </si>
  <si>
    <t xml:space="preserve">Patel</t>
  </si>
  <si>
    <t xml:space="preserve">Jaipur</t>
  </si>
  <si>
    <t xml:space="preserve">vikram.patel5@example.com</t>
  </si>
  <si>
    <t xml:space="preserve">99 Lake Road</t>
  </si>
  <si>
    <t xml:space="preserve">O00005</t>
  </si>
  <si>
    <t xml:space="preserve">11:52</t>
  </si>
  <si>
    <t xml:space="preserve">P112</t>
  </si>
  <si>
    <t xml:space="preserve">FLAT5</t>
  </si>
  <si>
    <t xml:space="preserve">09:51</t>
  </si>
  <si>
    <t xml:space="preserve">C1068</t>
  </si>
  <si>
    <t xml:space="preserve">Rahul</t>
  </si>
  <si>
    <t xml:space="preserve">rahul.iyer6@example.com</t>
  </si>
  <si>
    <t xml:space="preserve">18 Park Road</t>
  </si>
  <si>
    <t xml:space="preserve">O00006</t>
  </si>
  <si>
    <t xml:space="preserve">19:35</t>
  </si>
  <si>
    <t xml:space="preserve">FLAT10</t>
  </si>
  <si>
    <t xml:space="preserve">17:16</t>
  </si>
  <si>
    <t xml:space="preserve">C1041</t>
  </si>
  <si>
    <t xml:space="preserve">Manoj</t>
  </si>
  <si>
    <t xml:space="preserve">Mishra</t>
  </si>
  <si>
    <t xml:space="preserve">manoj.mishra7@example.com</t>
  </si>
  <si>
    <t xml:space="preserve">88 MG Road</t>
  </si>
  <si>
    <t xml:space="preserve">O00007</t>
  </si>
  <si>
    <t xml:space="preserve">17:04</t>
  </si>
  <si>
    <t xml:space="preserve">P104</t>
  </si>
  <si>
    <t xml:space="preserve">FLAT15</t>
  </si>
  <si>
    <t xml:space="preserve">15:24</t>
  </si>
  <si>
    <t xml:space="preserve">C1029</t>
  </si>
  <si>
    <t xml:space="preserve">Keerthi</t>
  </si>
  <si>
    <t xml:space="preserve">Bhat</t>
  </si>
  <si>
    <t xml:space="preserve">keerthi.bhat8@example.com</t>
  </si>
  <si>
    <t xml:space="preserve">38 MG Road</t>
  </si>
  <si>
    <t xml:space="preserve">O00008</t>
  </si>
  <si>
    <t xml:space="preserve">10:29</t>
  </si>
  <si>
    <t xml:space="preserve">P101</t>
  </si>
  <si>
    <t xml:space="preserve">09:46</t>
  </si>
  <si>
    <t xml:space="preserve">C1083</t>
  </si>
  <si>
    <t xml:space="preserve">Rao</t>
  </si>
  <si>
    <t xml:space="preserve">Pune</t>
  </si>
  <si>
    <t xml:space="preserve">vikram.rao9@example.com</t>
  </si>
  <si>
    <t xml:space="preserve">63 Lake Road</t>
  </si>
  <si>
    <t xml:space="preserve">O00009</t>
  </si>
  <si>
    <t xml:space="preserve">09:59</t>
  </si>
  <si>
    <t xml:space="preserve">P111</t>
  </si>
  <si>
    <t xml:space="preserve">14:56</t>
  </si>
  <si>
    <t xml:space="preserve">C1169</t>
  </si>
  <si>
    <t xml:space="preserve">Meera</t>
  </si>
  <si>
    <t xml:space="preserve">Nair</t>
  </si>
  <si>
    <t xml:space="preserve">Kochi</t>
  </si>
  <si>
    <t xml:space="preserve">meera.nair10@example.com</t>
  </si>
  <si>
    <t xml:space="preserve">61 Station Road</t>
  </si>
  <si>
    <t xml:space="preserve">O00010</t>
  </si>
  <si>
    <t xml:space="preserve">10:16</t>
  </si>
  <si>
    <t xml:space="preserve">P102</t>
  </si>
  <si>
    <t xml:space="preserve">17:55</t>
  </si>
  <si>
    <t xml:space="preserve">C1087</t>
  </si>
  <si>
    <t xml:space="preserve">keerthi.mishra11@example.com</t>
  </si>
  <si>
    <t xml:space="preserve">3 Station Road</t>
  </si>
  <si>
    <t xml:space="preserve">O00011</t>
  </si>
  <si>
    <t xml:space="preserve">16:14</t>
  </si>
  <si>
    <t xml:space="preserve">P107</t>
  </si>
  <si>
    <t xml:space="preserve">18:14</t>
  </si>
  <si>
    <t xml:space="preserve">C1139</t>
  </si>
  <si>
    <t xml:space="preserve">Aarav</t>
  </si>
  <si>
    <t xml:space="preserve">Bengaluru</t>
  </si>
  <si>
    <t xml:space="preserve">aarav.patel12@example.com</t>
  </si>
  <si>
    <t xml:space="preserve">17 Station Road</t>
  </si>
  <si>
    <t xml:space="preserve">O00012</t>
  </si>
  <si>
    <t xml:space="preserve">17:30</t>
  </si>
  <si>
    <t xml:space="preserve">12:50</t>
  </si>
  <si>
    <t xml:space="preserve">C1168</t>
  </si>
  <si>
    <t xml:space="preserve">Pooja</t>
  </si>
  <si>
    <t xml:space="preserve">pooja.mishra13@example.com</t>
  </si>
  <si>
    <t xml:space="preserve">83 Lake Road</t>
  </si>
  <si>
    <t xml:space="preserve">O00013</t>
  </si>
  <si>
    <t xml:space="preserve">08:25</t>
  </si>
  <si>
    <t xml:space="preserve">20:21</t>
  </si>
  <si>
    <t xml:space="preserve">C1114</t>
  </si>
  <si>
    <t xml:space="preserve">diya.nair14@example.com</t>
  </si>
  <si>
    <t xml:space="preserve">71 Lake Road</t>
  </si>
  <si>
    <t xml:space="preserve">O00014</t>
  </si>
  <si>
    <t xml:space="preserve">08:41</t>
  </si>
  <si>
    <t xml:space="preserve">17:53</t>
  </si>
  <si>
    <t xml:space="preserve">C1100</t>
  </si>
  <si>
    <t xml:space="preserve">Kolkata</t>
  </si>
  <si>
    <t xml:space="preserve">aarav.patel15@example.com</t>
  </si>
  <si>
    <t xml:space="preserve">34 MG Road</t>
  </si>
  <si>
    <t xml:space="preserve">O00015</t>
  </si>
  <si>
    <t xml:space="preserve">12:27</t>
  </si>
  <si>
    <t xml:space="preserve">20:46</t>
  </si>
  <si>
    <t xml:space="preserve">C1013</t>
  </si>
  <si>
    <t xml:space="preserve">Chowdhury</t>
  </si>
  <si>
    <t xml:space="preserve">sanjana.chowdhury16@example.com</t>
  </si>
  <si>
    <t xml:space="preserve">75 MG Road</t>
  </si>
  <si>
    <t xml:space="preserve">O00016</t>
  </si>
  <si>
    <t xml:space="preserve">16:58</t>
  </si>
  <si>
    <t xml:space="preserve">17:10</t>
  </si>
  <si>
    <t xml:space="preserve">C1159</t>
  </si>
  <si>
    <t xml:space="preserve">Ananya</t>
  </si>
  <si>
    <t xml:space="preserve">ananya.patel17@example.com</t>
  </si>
  <si>
    <t xml:space="preserve">11 MG Road</t>
  </si>
  <si>
    <t xml:space="preserve">O00017</t>
  </si>
  <si>
    <t xml:space="preserve">18:37</t>
  </si>
  <si>
    <t xml:space="preserve">18:33</t>
  </si>
  <si>
    <t xml:space="preserve">C1003</t>
  </si>
  <si>
    <t xml:space="preserve">Gupta</t>
  </si>
  <si>
    <t xml:space="preserve">rahul.gupta18@example.com</t>
  </si>
  <si>
    <t xml:space="preserve">59 Station Road</t>
  </si>
  <si>
    <t xml:space="preserve">O00018</t>
  </si>
  <si>
    <t xml:space="preserve">17:06</t>
  </si>
  <si>
    <t xml:space="preserve">10:34</t>
  </si>
  <si>
    <t xml:space="preserve">C1207</t>
  </si>
  <si>
    <t xml:space="preserve">Rohan</t>
  </si>
  <si>
    <t xml:space="preserve">rohan.gupta19@example.com</t>
  </si>
  <si>
    <t xml:space="preserve">84 Station Road</t>
  </si>
  <si>
    <t xml:space="preserve">O00019</t>
  </si>
  <si>
    <t xml:space="preserve">08:42</t>
  </si>
  <si>
    <t xml:space="preserve">17:19</t>
  </si>
  <si>
    <t xml:space="preserve">C1176</t>
  </si>
  <si>
    <t xml:space="preserve">Singh</t>
  </si>
  <si>
    <t xml:space="preserve">diya.singh20@example.com</t>
  </si>
  <si>
    <t xml:space="preserve">82 Main Road</t>
  </si>
  <si>
    <t xml:space="preserve">O00020</t>
  </si>
  <si>
    <t xml:space="preserve">16:31</t>
  </si>
  <si>
    <t xml:space="preserve">13:57</t>
  </si>
  <si>
    <t xml:space="preserve">C1142</t>
  </si>
  <si>
    <t xml:space="preserve">Hyderabad</t>
  </si>
  <si>
    <t xml:space="preserve">ananya.patel21@example.com</t>
  </si>
  <si>
    <t xml:space="preserve">91 MG Road</t>
  </si>
  <si>
    <t xml:space="preserve">O00021</t>
  </si>
  <si>
    <t xml:space="preserve">16:00</t>
  </si>
  <si>
    <t xml:space="preserve">10:04</t>
  </si>
  <si>
    <t xml:space="preserve">C1171</t>
  </si>
  <si>
    <t xml:space="preserve">Ishaan</t>
  </si>
  <si>
    <t xml:space="preserve">Reddy</t>
  </si>
  <si>
    <t xml:space="preserve">ishaan.reddy22@example.com</t>
  </si>
  <si>
    <t xml:space="preserve">14 Main Road</t>
  </si>
  <si>
    <t xml:space="preserve">O00022</t>
  </si>
  <si>
    <t xml:space="preserve">20:35</t>
  </si>
  <si>
    <t xml:space="preserve">15:39</t>
  </si>
  <si>
    <t xml:space="preserve">C1069</t>
  </si>
  <si>
    <t xml:space="preserve">ishaan.nair23@example.com</t>
  </si>
  <si>
    <t xml:space="preserve">21 Lake Road</t>
  </si>
  <si>
    <t xml:space="preserve">O00023</t>
  </si>
  <si>
    <t xml:space="preserve">14:55</t>
  </si>
  <si>
    <t xml:space="preserve">09:54</t>
  </si>
  <si>
    <t xml:space="preserve">C1222</t>
  </si>
  <si>
    <t xml:space="preserve">pooja.nair24@example.com</t>
  </si>
  <si>
    <t xml:space="preserve">9 Main Road</t>
  </si>
  <si>
    <t xml:space="preserve">O00024</t>
  </si>
  <si>
    <t xml:space="preserve">13:41</t>
  </si>
  <si>
    <t xml:space="preserve">17:25</t>
  </si>
  <si>
    <t xml:space="preserve">C1112</t>
  </si>
  <si>
    <t xml:space="preserve">Joshi</t>
  </si>
  <si>
    <t xml:space="preserve">sanjana.joshi25@example.com</t>
  </si>
  <si>
    <t xml:space="preserve">78 Station Road</t>
  </si>
  <si>
    <t xml:space="preserve">O00025</t>
  </si>
  <si>
    <t xml:space="preserve">09:24</t>
  </si>
  <si>
    <t xml:space="preserve">18:12</t>
  </si>
  <si>
    <t xml:space="preserve">C1218</t>
  </si>
  <si>
    <t xml:space="preserve">vikram.reddy26@example.com</t>
  </si>
  <si>
    <t xml:space="preserve">16 Main Road</t>
  </si>
  <si>
    <t xml:space="preserve">O00026</t>
  </si>
  <si>
    <t xml:space="preserve">16:19</t>
  </si>
  <si>
    <t xml:space="preserve">P109</t>
  </si>
  <si>
    <t xml:space="preserve">19:26</t>
  </si>
  <si>
    <t xml:space="preserve">C1141</t>
  </si>
  <si>
    <t xml:space="preserve">rahul.iyer27@example.com</t>
  </si>
  <si>
    <t xml:space="preserve">1 Main Road</t>
  </si>
  <si>
    <t xml:space="preserve">O00027</t>
  </si>
  <si>
    <t xml:space="preserve">12:13</t>
  </si>
  <si>
    <t xml:space="preserve">15:50</t>
  </si>
  <si>
    <t xml:space="preserve">Ahmedabad</t>
  </si>
  <si>
    <t xml:space="preserve">manoj.joshi28@example.com</t>
  </si>
  <si>
    <t xml:space="preserve">80 Main Road</t>
  </si>
  <si>
    <t xml:space="preserve">O00028</t>
  </si>
  <si>
    <t xml:space="preserve">09:52</t>
  </si>
  <si>
    <t xml:space="preserve">12:43</t>
  </si>
  <si>
    <t xml:space="preserve">C1148</t>
  </si>
  <si>
    <t xml:space="preserve">meera.nair29@example.com</t>
  </si>
  <si>
    <t xml:space="preserve">25 MG Road</t>
  </si>
  <si>
    <t xml:space="preserve">O00029</t>
  </si>
  <si>
    <t xml:space="preserve">15:25</t>
  </si>
  <si>
    <t xml:space="preserve">NONE</t>
  </si>
  <si>
    <t xml:space="preserve">12:09</t>
  </si>
  <si>
    <t xml:space="preserve">Kumar</t>
  </si>
  <si>
    <t xml:space="preserve">Chennai</t>
  </si>
  <si>
    <t xml:space="preserve">aarav.kumar30@example.com</t>
  </si>
  <si>
    <t xml:space="preserve">68 Station Road</t>
  </si>
  <si>
    <t xml:space="preserve">O00030</t>
  </si>
  <si>
    <t xml:space="preserve">17:20</t>
  </si>
  <si>
    <t xml:space="preserve">16:39</t>
  </si>
  <si>
    <t xml:space="preserve">C1125</t>
  </si>
  <si>
    <t xml:space="preserve">Varun</t>
  </si>
  <si>
    <t xml:space="preserve">varun.mishra31@example.com</t>
  </si>
  <si>
    <t xml:space="preserve">81 Park Road</t>
  </si>
  <si>
    <t xml:space="preserve">O00031</t>
  </si>
  <si>
    <t xml:space="preserve">12:28</t>
  </si>
  <si>
    <t xml:space="preserve">10:45</t>
  </si>
  <si>
    <t xml:space="preserve">C1055</t>
  </si>
  <si>
    <t xml:space="preserve">meera.nair32@example.com</t>
  </si>
  <si>
    <t xml:space="preserve">9 MG Road</t>
  </si>
  <si>
    <t xml:space="preserve">O00032</t>
  </si>
  <si>
    <t xml:space="preserve">14:21</t>
  </si>
  <si>
    <t xml:space="preserve">17:29</t>
  </si>
  <si>
    <t xml:space="preserve">C1242</t>
  </si>
  <si>
    <t xml:space="preserve">Nisha</t>
  </si>
  <si>
    <t xml:space="preserve">nisha.reddy33@example.com</t>
  </si>
  <si>
    <t xml:space="preserve">46 Main Road</t>
  </si>
  <si>
    <t xml:space="preserve">O00033</t>
  </si>
  <si>
    <t xml:space="preserve">20:24</t>
  </si>
  <si>
    <t xml:space="preserve">15:34</t>
  </si>
  <si>
    <t xml:space="preserve">C1186</t>
  </si>
  <si>
    <t xml:space="preserve">sanjana.nair34@example.com</t>
  </si>
  <si>
    <t xml:space="preserve">22 MG Road</t>
  </si>
  <si>
    <t xml:space="preserve">O00034</t>
  </si>
  <si>
    <t xml:space="preserve">10:39</t>
  </si>
  <si>
    <t xml:space="preserve">17:01</t>
  </si>
  <si>
    <t xml:space="preserve">Aditya</t>
  </si>
  <si>
    <t xml:space="preserve">aditya.sharma35@example.com</t>
  </si>
  <si>
    <t xml:space="preserve">98 MG Road</t>
  </si>
  <si>
    <t xml:space="preserve">O00035</t>
  </si>
  <si>
    <t xml:space="preserve">12:48</t>
  </si>
  <si>
    <t xml:space="preserve">15:16</t>
  </si>
  <si>
    <t xml:space="preserve">C1052</t>
  </si>
  <si>
    <t xml:space="preserve">arjun.chowdhury36@example.com</t>
  </si>
  <si>
    <t xml:space="preserve">O00036</t>
  </si>
  <si>
    <t xml:space="preserve">10:15</t>
  </si>
  <si>
    <t xml:space="preserve">11:30</t>
  </si>
  <si>
    <t xml:space="preserve">C1238</t>
  </si>
  <si>
    <t xml:space="preserve">diya.verma37@example.com</t>
  </si>
  <si>
    <t xml:space="preserve">40 Station Road</t>
  </si>
  <si>
    <t xml:space="preserve">O00037</t>
  </si>
  <si>
    <t xml:space="preserve">18:58</t>
  </si>
  <si>
    <t xml:space="preserve">C1089</t>
  </si>
  <si>
    <t xml:space="preserve">rohan.patel38@example.com</t>
  </si>
  <si>
    <t xml:space="preserve">69 MG Road</t>
  </si>
  <si>
    <t xml:space="preserve">O00038</t>
  </si>
  <si>
    <t xml:space="preserve">18:23</t>
  </si>
  <si>
    <t xml:space="preserve">10:32</t>
  </si>
  <si>
    <t xml:space="preserve">C1134</t>
  </si>
  <si>
    <t xml:space="preserve">rahul.sharma39@example.com</t>
  </si>
  <si>
    <t xml:space="preserve">84 Main Road</t>
  </si>
  <si>
    <t xml:space="preserve">O00039</t>
  </si>
  <si>
    <t xml:space="preserve">17:51</t>
  </si>
  <si>
    <t xml:space="preserve">17:49</t>
  </si>
  <si>
    <t xml:space="preserve">pooja.bhat40@example.com</t>
  </si>
  <si>
    <t xml:space="preserve">64 Main Road</t>
  </si>
  <si>
    <t xml:space="preserve">O00040</t>
  </si>
  <si>
    <t xml:space="preserve">10:31</t>
  </si>
  <si>
    <t xml:space="preserve">12:22</t>
  </si>
  <si>
    <t xml:space="preserve">C1177</t>
  </si>
  <si>
    <t xml:space="preserve">vikram.joshi41@example.com</t>
  </si>
  <si>
    <t xml:space="preserve">61 MG Road</t>
  </si>
  <si>
    <t xml:space="preserve">O00041</t>
  </si>
  <si>
    <t xml:space="preserve">09:05</t>
  </si>
  <si>
    <t xml:space="preserve">meera.nair42@example.com</t>
  </si>
  <si>
    <t xml:space="preserve">43 Main Road</t>
  </si>
  <si>
    <t xml:space="preserve">O00042</t>
  </si>
  <si>
    <t xml:space="preserve">19:29</t>
  </si>
  <si>
    <t xml:space="preserve">13:19</t>
  </si>
  <si>
    <t xml:space="preserve">C1153</t>
  </si>
  <si>
    <t xml:space="preserve">vikram.nair43@example.com</t>
  </si>
  <si>
    <t xml:space="preserve">37 Lake Road</t>
  </si>
  <si>
    <t xml:space="preserve">O00043</t>
  </si>
  <si>
    <t xml:space="preserve">21:12</t>
  </si>
  <si>
    <t xml:space="preserve">13:14</t>
  </si>
  <si>
    <t xml:space="preserve">C1164</t>
  </si>
  <si>
    <t xml:space="preserve">priya.rao44@example.com</t>
  </si>
  <si>
    <t xml:space="preserve">97 MG Road</t>
  </si>
  <si>
    <t xml:space="preserve">O00044</t>
  </si>
  <si>
    <t xml:space="preserve">09:55</t>
  </si>
  <si>
    <t xml:space="preserve">09:36</t>
  </si>
  <si>
    <t xml:space="preserve">C1019</t>
  </si>
  <si>
    <t xml:space="preserve">meera.chowdhury45@example.com</t>
  </si>
  <si>
    <t xml:space="preserve">74 Lake Road</t>
  </si>
  <si>
    <t xml:space="preserve">O00045</t>
  </si>
  <si>
    <t xml:space="preserve">10:09</t>
  </si>
  <si>
    <t xml:space="preserve">18:19</t>
  </si>
  <si>
    <t xml:space="preserve">C1221</t>
  </si>
  <si>
    <t xml:space="preserve">arjun.nair46@example.com</t>
  </si>
  <si>
    <t xml:space="preserve">76 MG Road</t>
  </si>
  <si>
    <t xml:space="preserve">O00046</t>
  </si>
  <si>
    <t xml:space="preserve">12:36</t>
  </si>
  <si>
    <t xml:space="preserve">18:03</t>
  </si>
  <si>
    <t xml:space="preserve">C1116</t>
  </si>
  <si>
    <t xml:space="preserve">keerthi.kumar47@example.com</t>
  </si>
  <si>
    <t xml:space="preserve">89 Station Road</t>
  </si>
  <si>
    <t xml:space="preserve">O00047</t>
  </si>
  <si>
    <t xml:space="preserve">15:18</t>
  </si>
  <si>
    <t xml:space="preserve">09:14</t>
  </si>
  <si>
    <t xml:space="preserve">C1212</t>
  </si>
  <si>
    <t xml:space="preserve">Das</t>
  </si>
  <si>
    <t xml:space="preserve">meera.das48@example.com</t>
  </si>
  <si>
    <t xml:space="preserve">19 Lake Road</t>
  </si>
  <si>
    <t xml:space="preserve">O00048</t>
  </si>
  <si>
    <t xml:space="preserve">08:10</t>
  </si>
  <si>
    <t xml:space="preserve">13:38</t>
  </si>
  <si>
    <t xml:space="preserve">C1113</t>
  </si>
  <si>
    <t xml:space="preserve">manoj.das49@example.com</t>
  </si>
  <si>
    <t xml:space="preserve">11 Station Road</t>
  </si>
  <si>
    <t xml:space="preserve">O00049</t>
  </si>
  <si>
    <t xml:space="preserve">08:56</t>
  </si>
  <si>
    <t xml:space="preserve">15:47</t>
  </si>
  <si>
    <t xml:space="preserve">C1121</t>
  </si>
  <si>
    <t xml:space="preserve">rahul.gupta50@example.com</t>
  </si>
  <si>
    <t xml:space="preserve">67 MG Road</t>
  </si>
  <si>
    <t xml:space="preserve">O00050</t>
  </si>
  <si>
    <t xml:space="preserve">12:11</t>
  </si>
  <si>
    <t xml:space="preserve">18:27</t>
  </si>
  <si>
    <t xml:space="preserve">C1074</t>
  </si>
  <si>
    <t xml:space="preserve">pooja.patel51@example.com</t>
  </si>
  <si>
    <t xml:space="preserve">85 MG Road</t>
  </si>
  <si>
    <t xml:space="preserve">O00051</t>
  </si>
  <si>
    <t xml:space="preserve">21:48</t>
  </si>
  <si>
    <t xml:space="preserve">P106</t>
  </si>
  <si>
    <t xml:space="preserve">17:02</t>
  </si>
  <si>
    <t xml:space="preserve">C1014</t>
  </si>
  <si>
    <t xml:space="preserve">Kiran</t>
  </si>
  <si>
    <t xml:space="preserve">kiran.patel52@example.com</t>
  </si>
  <si>
    <t xml:space="preserve">25 Station Road</t>
  </si>
  <si>
    <t xml:space="preserve">O00052</t>
  </si>
  <si>
    <t xml:space="preserve">13:39</t>
  </si>
  <si>
    <t xml:space="preserve">16:40</t>
  </si>
  <si>
    <t xml:space="preserve">kiran.reddy53@example.com</t>
  </si>
  <si>
    <t xml:space="preserve">O00053</t>
  </si>
  <si>
    <t xml:space="preserve">08:35</t>
  </si>
  <si>
    <t xml:space="preserve">15:05</t>
  </si>
  <si>
    <t xml:space="preserve">C1117</t>
  </si>
  <si>
    <t xml:space="preserve">Sneha</t>
  </si>
  <si>
    <t xml:space="preserve">sneha.kumar54@example.com</t>
  </si>
  <si>
    <t xml:space="preserve">71 Park Road</t>
  </si>
  <si>
    <t xml:space="preserve">O00054</t>
  </si>
  <si>
    <t xml:space="preserve">14:12</t>
  </si>
  <si>
    <t xml:space="preserve">18:32</t>
  </si>
  <si>
    <t xml:space="preserve">C1151</t>
  </si>
  <si>
    <t xml:space="preserve">ishaan.patel55@example.com</t>
  </si>
  <si>
    <t xml:space="preserve">O00055</t>
  </si>
  <si>
    <t xml:space="preserve">21:09</t>
  </si>
  <si>
    <t xml:space="preserve">16:34</t>
  </si>
  <si>
    <t xml:space="preserve">C1012</t>
  </si>
  <si>
    <t xml:space="preserve">Mehta</t>
  </si>
  <si>
    <t xml:space="preserve">pooja.mehta56@example.com</t>
  </si>
  <si>
    <t xml:space="preserve">41 MG Road</t>
  </si>
  <si>
    <t xml:space="preserve">O00056</t>
  </si>
  <si>
    <t xml:space="preserve">19:58</t>
  </si>
  <si>
    <t xml:space="preserve">C1004</t>
  </si>
  <si>
    <t xml:space="preserve">ishaan.chowdhury57@example.com</t>
  </si>
  <si>
    <t xml:space="preserve">93 Park Road</t>
  </si>
  <si>
    <t xml:space="preserve">O00057</t>
  </si>
  <si>
    <t xml:space="preserve">19:09</t>
  </si>
  <si>
    <t xml:space="preserve">C1161</t>
  </si>
  <si>
    <t xml:space="preserve">arjun.chowdhury58@example.com</t>
  </si>
  <si>
    <t xml:space="preserve">92 MG Road</t>
  </si>
  <si>
    <t xml:space="preserve">O00058</t>
  </si>
  <si>
    <t xml:space="preserve">21:34</t>
  </si>
  <si>
    <t xml:space="preserve">09:39</t>
  </si>
  <si>
    <t xml:space="preserve">C1178</t>
  </si>
  <si>
    <t xml:space="preserve">arjun.nair59@example.com</t>
  </si>
  <si>
    <t xml:space="preserve">39 Lake Road</t>
  </si>
  <si>
    <t xml:space="preserve">O00059</t>
  </si>
  <si>
    <t xml:space="preserve">08:20</t>
  </si>
  <si>
    <t xml:space="preserve">09:18</t>
  </si>
  <si>
    <t xml:space="preserve">C1175</t>
  </si>
  <si>
    <t xml:space="preserve">priya.mehta60@example.com</t>
  </si>
  <si>
    <t xml:space="preserve">31 MG Road</t>
  </si>
  <si>
    <t xml:space="preserve">O00060</t>
  </si>
  <si>
    <t xml:space="preserve">17:09</t>
  </si>
  <si>
    <t xml:space="preserve">12:29</t>
  </si>
  <si>
    <t xml:space="preserve">vikram.bhat61@example.com</t>
  </si>
  <si>
    <t xml:space="preserve">33 MG Road</t>
  </si>
  <si>
    <t xml:space="preserve">O00061</t>
  </si>
  <si>
    <t xml:space="preserve">21:19</t>
  </si>
  <si>
    <t xml:space="preserve">12:24</t>
  </si>
  <si>
    <t xml:space="preserve">pooja.kumar62@example.com</t>
  </si>
  <si>
    <t xml:space="preserve">73 Lake Road</t>
  </si>
  <si>
    <t xml:space="preserve">O00062</t>
  </si>
  <si>
    <t xml:space="preserve">17:47</t>
  </si>
  <si>
    <t xml:space="preserve">16:53</t>
  </si>
  <si>
    <t xml:space="preserve">C1025</t>
  </si>
  <si>
    <t xml:space="preserve">meera.nair63@example.com</t>
  </si>
  <si>
    <t xml:space="preserve">81 Lake Road</t>
  </si>
  <si>
    <t xml:space="preserve">O00063</t>
  </si>
  <si>
    <t xml:space="preserve">16:02</t>
  </si>
  <si>
    <t xml:space="preserve">C1129</t>
  </si>
  <si>
    <t xml:space="preserve">manoj.mehta64@example.com</t>
  </si>
  <si>
    <t xml:space="preserve">35 Park Road</t>
  </si>
  <si>
    <t xml:space="preserve">O00064</t>
  </si>
  <si>
    <t xml:space="preserve">12:58</t>
  </si>
  <si>
    <t xml:space="preserve">16:51</t>
  </si>
  <si>
    <t xml:space="preserve">C1203</t>
  </si>
  <si>
    <t xml:space="preserve">meera.joshi65@example.com</t>
  </si>
  <si>
    <t xml:space="preserve">51 Lake Road</t>
  </si>
  <si>
    <t xml:space="preserve">O00065</t>
  </si>
  <si>
    <t xml:space="preserve">12:34</t>
  </si>
  <si>
    <t xml:space="preserve">C1057</t>
  </si>
  <si>
    <t xml:space="preserve">priya.gupta66@example.com</t>
  </si>
  <si>
    <t xml:space="preserve">O00066</t>
  </si>
  <si>
    <t xml:space="preserve">18:52</t>
  </si>
  <si>
    <t xml:space="preserve">C1035</t>
  </si>
  <si>
    <t xml:space="preserve">meera.mishra67@example.com</t>
  </si>
  <si>
    <t xml:space="preserve">50 MG Road</t>
  </si>
  <si>
    <t xml:space="preserve">O00067</t>
  </si>
  <si>
    <t xml:space="preserve">13:42</t>
  </si>
  <si>
    <t xml:space="preserve">20:44</t>
  </si>
  <si>
    <t xml:space="preserve">C1009</t>
  </si>
  <si>
    <t xml:space="preserve">sanjana.mishra68@example.com</t>
  </si>
  <si>
    <t xml:space="preserve">89 Main Road</t>
  </si>
  <si>
    <t xml:space="preserve">O00068</t>
  </si>
  <si>
    <t xml:space="preserve">11:28</t>
  </si>
  <si>
    <t xml:space="preserve">16:15</t>
  </si>
  <si>
    <t xml:space="preserve">priya.kumar69@example.com</t>
  </si>
  <si>
    <t xml:space="preserve">77 Lake Road</t>
  </si>
  <si>
    <t xml:space="preserve">O00069</t>
  </si>
  <si>
    <t xml:space="preserve">08:50</t>
  </si>
  <si>
    <t xml:space="preserve">14:15</t>
  </si>
  <si>
    <t xml:space="preserve">ishaan.verma70@example.com</t>
  </si>
  <si>
    <t xml:space="preserve">33 Park Road</t>
  </si>
  <si>
    <t xml:space="preserve">O00070</t>
  </si>
  <si>
    <t xml:space="preserve">09:42</t>
  </si>
  <si>
    <t xml:space="preserve">09:08</t>
  </si>
  <si>
    <t xml:space="preserve">C1115</t>
  </si>
  <si>
    <t xml:space="preserve">aarav.mehta71@example.com</t>
  </si>
  <si>
    <t xml:space="preserve">47 Station Road</t>
  </si>
  <si>
    <t xml:space="preserve">O00071</t>
  </si>
  <si>
    <t xml:space="preserve">16:32</t>
  </si>
  <si>
    <t xml:space="preserve">C1126</t>
  </si>
  <si>
    <t xml:space="preserve">sneha.reddy72@example.com</t>
  </si>
  <si>
    <t xml:space="preserve">O00072</t>
  </si>
  <si>
    <t xml:space="preserve">09:57</t>
  </si>
  <si>
    <t xml:space="preserve">10:20</t>
  </si>
  <si>
    <t xml:space="preserve">C1155</t>
  </si>
  <si>
    <t xml:space="preserve">keerthi.singh73@example.com</t>
  </si>
  <si>
    <t xml:space="preserve">56 Lake Road</t>
  </si>
  <si>
    <t xml:space="preserve">O00073</t>
  </si>
  <si>
    <t xml:space="preserve">10:54</t>
  </si>
  <si>
    <t xml:space="preserve">C1081</t>
  </si>
  <si>
    <t xml:space="preserve">sanjana.verma74@example.com</t>
  </si>
  <si>
    <t xml:space="preserve">55 Main Road</t>
  </si>
  <si>
    <t xml:space="preserve">O00074</t>
  </si>
  <si>
    <t xml:space="preserve">18:16</t>
  </si>
  <si>
    <t xml:space="preserve">14:09</t>
  </si>
  <si>
    <t xml:space="preserve">pooja.patel75@example.com</t>
  </si>
  <si>
    <t xml:space="preserve">72 Station Road</t>
  </si>
  <si>
    <t xml:space="preserve">O00075</t>
  </si>
  <si>
    <t xml:space="preserve">10:26</t>
  </si>
  <si>
    <t xml:space="preserve">C1217</t>
  </si>
  <si>
    <t xml:space="preserve">priya.mishra76@example.com</t>
  </si>
  <si>
    <t xml:space="preserve">O00076</t>
  </si>
  <si>
    <t xml:space="preserve">21:35</t>
  </si>
  <si>
    <t xml:space="preserve">14:07</t>
  </si>
  <si>
    <t xml:space="preserve">C1002</t>
  </si>
  <si>
    <t xml:space="preserve">vikram.nair77@example.com</t>
  </si>
  <si>
    <t xml:space="preserve">24 Park Road</t>
  </si>
  <si>
    <t xml:space="preserve">O00077</t>
  </si>
  <si>
    <t xml:space="preserve">17:42</t>
  </si>
  <si>
    <t xml:space="preserve">15:04</t>
  </si>
  <si>
    <t xml:space="preserve">ishaan.sharma78@example.com</t>
  </si>
  <si>
    <t xml:space="preserve">11 Lake Road</t>
  </si>
  <si>
    <t xml:space="preserve">O00078</t>
  </si>
  <si>
    <t xml:space="preserve">10:10</t>
  </si>
  <si>
    <t xml:space="preserve">C1073</t>
  </si>
  <si>
    <t xml:space="preserve">arjun.gupta79@example.com</t>
  </si>
  <si>
    <t xml:space="preserve">87 Station Road</t>
  </si>
  <si>
    <t xml:space="preserve">O00079</t>
  </si>
  <si>
    <t xml:space="preserve">15:33</t>
  </si>
  <si>
    <t xml:space="preserve">19:19</t>
  </si>
  <si>
    <t xml:space="preserve">ananya.nair80@example.com</t>
  </si>
  <si>
    <t xml:space="preserve">64 MG Road</t>
  </si>
  <si>
    <t xml:space="preserve">O00080</t>
  </si>
  <si>
    <t xml:space="preserve">10:08</t>
  </si>
  <si>
    <t xml:space="preserve">C1104</t>
  </si>
  <si>
    <t xml:space="preserve">sneha.mehta81@example.com</t>
  </si>
  <si>
    <t xml:space="preserve">O00081</t>
  </si>
  <si>
    <t xml:space="preserve">12:07</t>
  </si>
  <si>
    <t xml:space="preserve">15:01</t>
  </si>
  <si>
    <t xml:space="preserve">C1223</t>
  </si>
  <si>
    <t xml:space="preserve">rahul.rao82@example.com</t>
  </si>
  <si>
    <t xml:space="preserve">40 Main Road</t>
  </si>
  <si>
    <t xml:space="preserve">O00082</t>
  </si>
  <si>
    <t xml:space="preserve">11:21</t>
  </si>
  <si>
    <t xml:space="preserve">11:04</t>
  </si>
  <si>
    <t xml:space="preserve">C1040</t>
  </si>
  <si>
    <t xml:space="preserve">varun.kumar83@example.com</t>
  </si>
  <si>
    <t xml:space="preserve">98 Lake Road</t>
  </si>
  <si>
    <t xml:space="preserve">O00083</t>
  </si>
  <si>
    <t xml:space="preserve">10:49</t>
  </si>
  <si>
    <t xml:space="preserve">19:31</t>
  </si>
  <si>
    <t xml:space="preserve">C1152</t>
  </si>
  <si>
    <t xml:space="preserve">kiran.bhat84@example.com</t>
  </si>
  <si>
    <t xml:space="preserve">8 Main Road</t>
  </si>
  <si>
    <t xml:space="preserve">O00084</t>
  </si>
  <si>
    <t xml:space="preserve">16:04</t>
  </si>
  <si>
    <t xml:space="preserve">13:29</t>
  </si>
  <si>
    <t xml:space="preserve">C1245</t>
  </si>
  <si>
    <t xml:space="preserve">kiran.reddy85@example.com</t>
  </si>
  <si>
    <t xml:space="preserve">95 Lake Road</t>
  </si>
  <si>
    <t xml:space="preserve">O00085</t>
  </si>
  <si>
    <t xml:space="preserve">15:58</t>
  </si>
  <si>
    <t xml:space="preserve">18:41</t>
  </si>
  <si>
    <t xml:space="preserve">C1011</t>
  </si>
  <si>
    <t xml:space="preserve">rohan.joshi86@example.com</t>
  </si>
  <si>
    <t xml:space="preserve">32 MG Road</t>
  </si>
  <si>
    <t xml:space="preserve">O00086</t>
  </si>
  <si>
    <t xml:space="preserve">17:39</t>
  </si>
  <si>
    <t xml:space="preserve">C1085</t>
  </si>
  <si>
    <t xml:space="preserve">Kavya</t>
  </si>
  <si>
    <t xml:space="preserve">kavya.mehta87@example.com</t>
  </si>
  <si>
    <t xml:space="preserve">13 Station Road</t>
  </si>
  <si>
    <t xml:space="preserve">O00087</t>
  </si>
  <si>
    <t xml:space="preserve">18:24</t>
  </si>
  <si>
    <t xml:space="preserve">13:16</t>
  </si>
  <si>
    <t xml:space="preserve">C1034</t>
  </si>
  <si>
    <t xml:space="preserve">keerthi.singh88@example.com</t>
  </si>
  <si>
    <t xml:space="preserve">O00088</t>
  </si>
  <si>
    <t xml:space="preserve">12:35</t>
  </si>
  <si>
    <t xml:space="preserve">15:41</t>
  </si>
  <si>
    <t xml:space="preserve">C1050</t>
  </si>
  <si>
    <t xml:space="preserve">rahul.singh89@example.com</t>
  </si>
  <si>
    <t xml:space="preserve">29 Park Road</t>
  </si>
  <si>
    <t xml:space="preserve">O00089</t>
  </si>
  <si>
    <t xml:space="preserve">13:54</t>
  </si>
  <si>
    <t xml:space="preserve">diya.reddy90@example.com</t>
  </si>
  <si>
    <t xml:space="preserve">6 MG Road</t>
  </si>
  <si>
    <t xml:space="preserve">O00090</t>
  </si>
  <si>
    <t xml:space="preserve">13:43</t>
  </si>
  <si>
    <t xml:space="preserve">20:15</t>
  </si>
  <si>
    <t xml:space="preserve">kiran.das91@example.com</t>
  </si>
  <si>
    <t xml:space="preserve">60 Main Road</t>
  </si>
  <si>
    <t xml:space="preserve">O00091</t>
  </si>
  <si>
    <t xml:space="preserve">17:33</t>
  </si>
  <si>
    <t xml:space="preserve">nisha.rao92@example.com</t>
  </si>
  <si>
    <t xml:space="preserve">O00092</t>
  </si>
  <si>
    <t xml:space="preserve">09:48</t>
  </si>
  <si>
    <t xml:space="preserve">11:17</t>
  </si>
  <si>
    <t xml:space="preserve">C1061</t>
  </si>
  <si>
    <t xml:space="preserve">kiran.singh93@example.com</t>
  </si>
  <si>
    <t xml:space="preserve">50 Lake Road</t>
  </si>
  <si>
    <t xml:space="preserve">O00093</t>
  </si>
  <si>
    <t xml:space="preserve">09:20</t>
  </si>
  <si>
    <t xml:space="preserve">C1158</t>
  </si>
  <si>
    <t xml:space="preserve">diya.joshi94@example.com</t>
  </si>
  <si>
    <t xml:space="preserve">1 Lake Road</t>
  </si>
  <si>
    <t xml:space="preserve">O00094</t>
  </si>
  <si>
    <t xml:space="preserve">08:16</t>
  </si>
  <si>
    <t xml:space="preserve">12:53</t>
  </si>
  <si>
    <t xml:space="preserve">ishaan.mishra95@example.com</t>
  </si>
  <si>
    <t xml:space="preserve">64 Station Road</t>
  </si>
  <si>
    <t xml:space="preserve">O00095</t>
  </si>
  <si>
    <t xml:space="preserve">16:01</t>
  </si>
  <si>
    <t xml:space="preserve">19:32</t>
  </si>
  <si>
    <t xml:space="preserve">C1135</t>
  </si>
  <si>
    <t xml:space="preserve">manoj.nair96@example.com</t>
  </si>
  <si>
    <t xml:space="preserve">47 Lake Road</t>
  </si>
  <si>
    <t xml:space="preserve">O00096</t>
  </si>
  <si>
    <t xml:space="preserve">17:50</t>
  </si>
  <si>
    <t xml:space="preserve">C1062</t>
  </si>
  <si>
    <t xml:space="preserve">varun.sharma97@example.com</t>
  </si>
  <si>
    <t xml:space="preserve">94 Lake Road</t>
  </si>
  <si>
    <t xml:space="preserve">O00097</t>
  </si>
  <si>
    <t xml:space="preserve">20:37</t>
  </si>
  <si>
    <t xml:space="preserve">20:48</t>
  </si>
  <si>
    <t xml:space="preserve">C1162</t>
  </si>
  <si>
    <t xml:space="preserve">rahul.singh98@example.com</t>
  </si>
  <si>
    <t xml:space="preserve">O00098</t>
  </si>
  <si>
    <t xml:space="preserve">09:45</t>
  </si>
  <si>
    <t xml:space="preserve">C1049</t>
  </si>
  <si>
    <t xml:space="preserve">meera.verma99@example.com</t>
  </si>
  <si>
    <t xml:space="preserve">37 Main Road</t>
  </si>
  <si>
    <t xml:space="preserve">O00099</t>
  </si>
  <si>
    <t xml:space="preserve">21:49</t>
  </si>
  <si>
    <t xml:space="preserve">C1128</t>
  </si>
  <si>
    <t xml:space="preserve">rahul.gupta100@example.com</t>
  </si>
  <si>
    <t xml:space="preserve">48 Station Road</t>
  </si>
  <si>
    <t xml:space="preserve">O00100</t>
  </si>
  <si>
    <t xml:space="preserve">12:51</t>
  </si>
  <si>
    <t xml:space="preserve">10:46</t>
  </si>
  <si>
    <t xml:space="preserve">nisha.patel101@example.com</t>
  </si>
  <si>
    <t xml:space="preserve">O00101</t>
  </si>
  <si>
    <t xml:space="preserve">10:44</t>
  </si>
  <si>
    <t xml:space="preserve">16:22</t>
  </si>
  <si>
    <t xml:space="preserve">C1174</t>
  </si>
  <si>
    <t xml:space="preserve">kiran.reddy102@example.com</t>
  </si>
  <si>
    <t xml:space="preserve">O00102</t>
  </si>
  <si>
    <t xml:space="preserve">18:43</t>
  </si>
  <si>
    <t xml:space="preserve">kiran.reddy103@example.com</t>
  </si>
  <si>
    <t xml:space="preserve">48 Main Road</t>
  </si>
  <si>
    <t xml:space="preserve">O00103</t>
  </si>
  <si>
    <t xml:space="preserve">15:48</t>
  </si>
  <si>
    <t xml:space="preserve">10:36</t>
  </si>
  <si>
    <t xml:space="preserve">C1031</t>
  </si>
  <si>
    <t xml:space="preserve">ishaan.mehta104@example.com</t>
  </si>
  <si>
    <t xml:space="preserve">34 Main Road</t>
  </si>
  <si>
    <t xml:space="preserve">O00104</t>
  </si>
  <si>
    <t xml:space="preserve">19:28</t>
  </si>
  <si>
    <t xml:space="preserve">12:39</t>
  </si>
  <si>
    <t xml:space="preserve">meera.chowdhury105@example.com</t>
  </si>
  <si>
    <t xml:space="preserve">91 Lake Road</t>
  </si>
  <si>
    <t xml:space="preserve">O00105</t>
  </si>
  <si>
    <t xml:space="preserve">meera.rao106@example.com</t>
  </si>
  <si>
    <t xml:space="preserve">74 Main Road</t>
  </si>
  <si>
    <t xml:space="preserve">O00106</t>
  </si>
  <si>
    <t xml:space="preserve">15:51</t>
  </si>
  <si>
    <t xml:space="preserve">17:08</t>
  </si>
  <si>
    <t xml:space="preserve">keerthi.patel107@example.com</t>
  </si>
  <si>
    <t xml:space="preserve">58 MG Road</t>
  </si>
  <si>
    <t xml:space="preserve">O00107</t>
  </si>
  <si>
    <t xml:space="preserve">14:08</t>
  </si>
  <si>
    <t xml:space="preserve">C1243</t>
  </si>
  <si>
    <t xml:space="preserve">sanjana.rao108@example.com</t>
  </si>
  <si>
    <t xml:space="preserve">67 Main Road</t>
  </si>
  <si>
    <t xml:space="preserve">O00108</t>
  </si>
  <si>
    <t xml:space="preserve">21:05</t>
  </si>
  <si>
    <t xml:space="preserve">13:12</t>
  </si>
  <si>
    <t xml:space="preserve">sanjana.gupta109@example.com</t>
  </si>
  <si>
    <t xml:space="preserve">80 Station Road</t>
  </si>
  <si>
    <t xml:space="preserve">O00109</t>
  </si>
  <si>
    <t xml:space="preserve">13:53</t>
  </si>
  <si>
    <t xml:space="preserve">18:02</t>
  </si>
  <si>
    <t xml:space="preserve">aarav.patel110@example.com</t>
  </si>
  <si>
    <t xml:space="preserve">39 MG Road</t>
  </si>
  <si>
    <t xml:space="preserve">O00110</t>
  </si>
  <si>
    <t xml:space="preserve">11:51</t>
  </si>
  <si>
    <t xml:space="preserve">19:25</t>
  </si>
  <si>
    <t xml:space="preserve">meera.bhat111@example.com</t>
  </si>
  <si>
    <t xml:space="preserve">92 Main Road</t>
  </si>
  <si>
    <t xml:space="preserve">O00111</t>
  </si>
  <si>
    <t xml:space="preserve">19:55</t>
  </si>
  <si>
    <t xml:space="preserve">14:25</t>
  </si>
  <si>
    <t xml:space="preserve">ishaan.mehta112@example.com</t>
  </si>
  <si>
    <t xml:space="preserve">50 Station Road</t>
  </si>
  <si>
    <t xml:space="preserve">O00112</t>
  </si>
  <si>
    <t xml:space="preserve">C1118</t>
  </si>
  <si>
    <t xml:space="preserve">rahul.joshi113@example.com</t>
  </si>
  <si>
    <t xml:space="preserve">31 Park Road</t>
  </si>
  <si>
    <t xml:space="preserve">O00113</t>
  </si>
  <si>
    <t xml:space="preserve">17:22</t>
  </si>
  <si>
    <t xml:space="preserve">09:03</t>
  </si>
  <si>
    <t xml:space="preserve">C1196</t>
  </si>
  <si>
    <t xml:space="preserve">meera.chowdhury114@example.com</t>
  </si>
  <si>
    <t xml:space="preserve">52 Main Road</t>
  </si>
  <si>
    <t xml:space="preserve">O00114</t>
  </si>
  <si>
    <t xml:space="preserve">sanjana.verma115@example.com</t>
  </si>
  <si>
    <t xml:space="preserve">17 Lake Road</t>
  </si>
  <si>
    <t xml:space="preserve">O00115</t>
  </si>
  <si>
    <t xml:space="preserve">14:23</t>
  </si>
  <si>
    <t xml:space="preserve">14:35</t>
  </si>
  <si>
    <t xml:space="preserve">C1156</t>
  </si>
  <si>
    <t xml:space="preserve">priya.singh116@example.com</t>
  </si>
  <si>
    <t xml:space="preserve">66 Park Road</t>
  </si>
  <si>
    <t xml:space="preserve">O00116</t>
  </si>
  <si>
    <t xml:space="preserve">13:59</t>
  </si>
  <si>
    <t xml:space="preserve">18:20</t>
  </si>
  <si>
    <t xml:space="preserve">kavya.iyer117@example.com</t>
  </si>
  <si>
    <t xml:space="preserve">87 Lake Road</t>
  </si>
  <si>
    <t xml:space="preserve">O00117</t>
  </si>
  <si>
    <t xml:space="preserve">14:37</t>
  </si>
  <si>
    <t xml:space="preserve">13:50</t>
  </si>
  <si>
    <t xml:space="preserve">C1038</t>
  </si>
  <si>
    <t xml:space="preserve">aarav.chowdhury118@example.com</t>
  </si>
  <si>
    <t xml:space="preserve">88 Park Road</t>
  </si>
  <si>
    <t xml:space="preserve">O00118</t>
  </si>
  <si>
    <t xml:space="preserve">08:36</t>
  </si>
  <si>
    <t xml:space="preserve">20:07</t>
  </si>
  <si>
    <t xml:space="preserve">C1224</t>
  </si>
  <si>
    <t xml:space="preserve">rohan.sharma119@example.com</t>
  </si>
  <si>
    <t xml:space="preserve">O00119</t>
  </si>
  <si>
    <t xml:space="preserve">19:08</t>
  </si>
  <si>
    <t xml:space="preserve">17:13</t>
  </si>
  <si>
    <t xml:space="preserve">sanjana.joshi120@example.com</t>
  </si>
  <si>
    <t xml:space="preserve">83 Main Road</t>
  </si>
  <si>
    <t xml:space="preserve">O00120</t>
  </si>
  <si>
    <t xml:space="preserve">12:15</t>
  </si>
  <si>
    <t xml:space="preserve">C1144</t>
  </si>
  <si>
    <t xml:space="preserve">vikram.das121@example.com</t>
  </si>
  <si>
    <t xml:space="preserve">93 Main Road</t>
  </si>
  <si>
    <t xml:space="preserve">O00121</t>
  </si>
  <si>
    <t xml:space="preserve">C1123</t>
  </si>
  <si>
    <t xml:space="preserve">sanjana.iyer122@example.com</t>
  </si>
  <si>
    <t xml:space="preserve">28 Park Road</t>
  </si>
  <si>
    <t xml:space="preserve">O00122</t>
  </si>
  <si>
    <t xml:space="preserve">sanjana.gupta123@example.com</t>
  </si>
  <si>
    <t xml:space="preserve">13 MG Road</t>
  </si>
  <si>
    <t xml:space="preserve">O00123</t>
  </si>
  <si>
    <t xml:space="preserve">13:45</t>
  </si>
  <si>
    <t xml:space="preserve">16:06</t>
  </si>
  <si>
    <t xml:space="preserve">C1016</t>
  </si>
  <si>
    <t xml:space="preserve">ishaan.sharma124@example.com</t>
  </si>
  <si>
    <t xml:space="preserve">O00124</t>
  </si>
  <si>
    <t xml:space="preserve">18:36</t>
  </si>
  <si>
    <t xml:space="preserve">ananya.rao125@example.com</t>
  </si>
  <si>
    <t xml:space="preserve">O00125</t>
  </si>
  <si>
    <t xml:space="preserve">19:34</t>
  </si>
  <si>
    <t xml:space="preserve">varun.chowdhury126@example.com</t>
  </si>
  <si>
    <t xml:space="preserve">95 Main Road</t>
  </si>
  <si>
    <t xml:space="preserve">O00126</t>
  </si>
  <si>
    <t xml:space="preserve">20:18</t>
  </si>
  <si>
    <t xml:space="preserve">C1240</t>
  </si>
  <si>
    <t xml:space="preserve">rohan.rao127@example.com</t>
  </si>
  <si>
    <t xml:space="preserve">32 Lake Road</t>
  </si>
  <si>
    <t xml:space="preserve">O00127</t>
  </si>
  <si>
    <t xml:space="preserve">vikram.joshi128@example.com</t>
  </si>
  <si>
    <t xml:space="preserve">52 Station Road</t>
  </si>
  <si>
    <t xml:space="preserve">O00128</t>
  </si>
  <si>
    <t xml:space="preserve">19:49</t>
  </si>
  <si>
    <t xml:space="preserve">13:44</t>
  </si>
  <si>
    <t xml:space="preserve">C1234</t>
  </si>
  <si>
    <t xml:space="preserve">diya.das129@example.com</t>
  </si>
  <si>
    <t xml:space="preserve">O00129</t>
  </si>
  <si>
    <t xml:space="preserve">20:42</t>
  </si>
  <si>
    <t xml:space="preserve">C1232</t>
  </si>
  <si>
    <t xml:space="preserve">sneha.patel130@example.com</t>
  </si>
  <si>
    <t xml:space="preserve">65 Park Road</t>
  </si>
  <si>
    <t xml:space="preserve">O00130</t>
  </si>
  <si>
    <t xml:space="preserve">17:34</t>
  </si>
  <si>
    <t xml:space="preserve">11:10</t>
  </si>
  <si>
    <t xml:space="preserve">C1107</t>
  </si>
  <si>
    <t xml:space="preserve">rahul.bhat131@example.com</t>
  </si>
  <si>
    <t xml:space="preserve">O00131</t>
  </si>
  <si>
    <t xml:space="preserve">16:43</t>
  </si>
  <si>
    <t xml:space="preserve">meera.sharma132@example.com</t>
  </si>
  <si>
    <t xml:space="preserve">8 Lake Road</t>
  </si>
  <si>
    <t xml:space="preserve">O00132</t>
  </si>
  <si>
    <t xml:space="preserve">15:02</t>
  </si>
  <si>
    <t xml:space="preserve">13:26</t>
  </si>
  <si>
    <t xml:space="preserve">kavya.singh133@example.com</t>
  </si>
  <si>
    <t xml:space="preserve">45 Lake Road</t>
  </si>
  <si>
    <t xml:space="preserve">O00133</t>
  </si>
  <si>
    <t xml:space="preserve">C1071</t>
  </si>
  <si>
    <t xml:space="preserve">ishaan.nair134@example.com</t>
  </si>
  <si>
    <t xml:space="preserve">25 Lake Road</t>
  </si>
  <si>
    <t xml:space="preserve">O00134</t>
  </si>
  <si>
    <t xml:space="preserve">08:51</t>
  </si>
  <si>
    <t xml:space="preserve">keerthi.sharma135@example.com</t>
  </si>
  <si>
    <t xml:space="preserve">52 MG Road</t>
  </si>
  <si>
    <t xml:space="preserve">O00135</t>
  </si>
  <si>
    <t xml:space="preserve">11:34</t>
  </si>
  <si>
    <t xml:space="preserve">C1170</t>
  </si>
  <si>
    <t xml:space="preserve">ananya.singh136@example.com</t>
  </si>
  <si>
    <t xml:space="preserve">67 Park Road</t>
  </si>
  <si>
    <t xml:space="preserve">O00136</t>
  </si>
  <si>
    <t xml:space="preserve">14:19</t>
  </si>
  <si>
    <t xml:space="preserve">13:03</t>
  </si>
  <si>
    <t xml:space="preserve">C1039</t>
  </si>
  <si>
    <t xml:space="preserve">sanjana.rao137@example.com</t>
  </si>
  <si>
    <t xml:space="preserve">O00137</t>
  </si>
  <si>
    <t xml:space="preserve">10:48</t>
  </si>
  <si>
    <t xml:space="preserve">C1053</t>
  </si>
  <si>
    <t xml:space="preserve">sneha.nair138@example.com</t>
  </si>
  <si>
    <t xml:space="preserve">43 Lake Road</t>
  </si>
  <si>
    <t xml:space="preserve">O00138</t>
  </si>
  <si>
    <t xml:space="preserve">15:54</t>
  </si>
  <si>
    <t xml:space="preserve">14:05</t>
  </si>
  <si>
    <t xml:space="preserve">C1056</t>
  </si>
  <si>
    <t xml:space="preserve">sanjana.verma139@example.com</t>
  </si>
  <si>
    <t xml:space="preserve">62 Park Road</t>
  </si>
  <si>
    <t xml:space="preserve">O00139</t>
  </si>
  <si>
    <t xml:space="preserve">21:58</t>
  </si>
  <si>
    <t xml:space="preserve">C1098</t>
  </si>
  <si>
    <t xml:space="preserve">aarav.verma140@example.com</t>
  </si>
  <si>
    <t xml:space="preserve">60 Station Road</t>
  </si>
  <si>
    <t xml:space="preserve">O00140</t>
  </si>
  <si>
    <t xml:space="preserve">18:22</t>
  </si>
  <si>
    <t xml:space="preserve">C1190</t>
  </si>
  <si>
    <t xml:space="preserve">priya.chowdhury141@example.com</t>
  </si>
  <si>
    <t xml:space="preserve">O00141</t>
  </si>
  <si>
    <t xml:space="preserve">nisha.das142@example.com</t>
  </si>
  <si>
    <t xml:space="preserve">O00142</t>
  </si>
  <si>
    <t xml:space="preserve">19:41</t>
  </si>
  <si>
    <t xml:space="preserve">20:31</t>
  </si>
  <si>
    <t xml:space="preserve">kiran.rao143@example.com</t>
  </si>
  <si>
    <t xml:space="preserve">86 Lake Road</t>
  </si>
  <si>
    <t xml:space="preserve">O00143</t>
  </si>
  <si>
    <t xml:space="preserve">20:00</t>
  </si>
  <si>
    <t xml:space="preserve">15:08</t>
  </si>
  <si>
    <t xml:space="preserve">sneha.patel144@example.com</t>
  </si>
  <si>
    <t xml:space="preserve">62 MG Road</t>
  </si>
  <si>
    <t xml:space="preserve">O00144</t>
  </si>
  <si>
    <t xml:space="preserve">08:00</t>
  </si>
  <si>
    <t xml:space="preserve">17:35</t>
  </si>
  <si>
    <t xml:space="preserve">C1028</t>
  </si>
  <si>
    <t xml:space="preserve">nisha.sharma145@example.com</t>
  </si>
  <si>
    <t xml:space="preserve">O00145</t>
  </si>
  <si>
    <t xml:space="preserve">C1058</t>
  </si>
  <si>
    <t xml:space="preserve">varun.gupta146@example.com</t>
  </si>
  <si>
    <t xml:space="preserve">O00146</t>
  </si>
  <si>
    <t xml:space="preserve">18:54</t>
  </si>
  <si>
    <t xml:space="preserve">19:48</t>
  </si>
  <si>
    <t xml:space="preserve">C1166</t>
  </si>
  <si>
    <t xml:space="preserve">ananya.patel147@example.com</t>
  </si>
  <si>
    <t xml:space="preserve">43 Station Road</t>
  </si>
  <si>
    <t xml:space="preserve">O00147</t>
  </si>
  <si>
    <t xml:space="preserve">21:06</t>
  </si>
  <si>
    <t xml:space="preserve">17:58</t>
  </si>
  <si>
    <t xml:space="preserve">ananya.nair148@example.com</t>
  </si>
  <si>
    <t xml:space="preserve">23 Main Road</t>
  </si>
  <si>
    <t xml:space="preserve">O00148</t>
  </si>
  <si>
    <t xml:space="preserve">08:13</t>
  </si>
  <si>
    <t xml:space="preserve">18:09</t>
  </si>
  <si>
    <t xml:space="preserve">C1036</t>
  </si>
  <si>
    <t xml:space="preserve">aditya.patel149@example.com</t>
  </si>
  <si>
    <t xml:space="preserve">89 Lake Road</t>
  </si>
  <si>
    <t xml:space="preserve">O00149</t>
  </si>
  <si>
    <t xml:space="preserve">16:47</t>
  </si>
  <si>
    <t xml:space="preserve">14:03</t>
  </si>
  <si>
    <t xml:space="preserve">diya.mishra150@example.com</t>
  </si>
  <si>
    <t xml:space="preserve">30 Main Road</t>
  </si>
  <si>
    <t xml:space="preserve">O00150</t>
  </si>
  <si>
    <t xml:space="preserve">16:24</t>
  </si>
  <si>
    <t xml:space="preserve">15:11</t>
  </si>
  <si>
    <t xml:space="preserve">manoj.iyer151@example.com</t>
  </si>
  <si>
    <t xml:space="preserve">95 MG Road</t>
  </si>
  <si>
    <t xml:space="preserve">O00151</t>
  </si>
  <si>
    <t xml:space="preserve">13:23</t>
  </si>
  <si>
    <t xml:space="preserve">10:05</t>
  </si>
  <si>
    <t xml:space="preserve">C1105</t>
  </si>
  <si>
    <t xml:space="preserve">aarav.das152@example.com</t>
  </si>
  <si>
    <t xml:space="preserve">14 Lake Road</t>
  </si>
  <si>
    <t xml:space="preserve">O00152</t>
  </si>
  <si>
    <t xml:space="preserve">09:22</t>
  </si>
  <si>
    <t xml:space="preserve">17:05</t>
  </si>
  <si>
    <t xml:space="preserve">C1044</t>
  </si>
  <si>
    <t xml:space="preserve">keerthi.joshi153@example.com</t>
  </si>
  <si>
    <t xml:space="preserve">O00153</t>
  </si>
  <si>
    <t xml:space="preserve">C1185</t>
  </si>
  <si>
    <t xml:space="preserve">vikram.chowdhury154@example.com</t>
  </si>
  <si>
    <t xml:space="preserve">81 MG Road</t>
  </si>
  <si>
    <t xml:space="preserve">O00154</t>
  </si>
  <si>
    <t xml:space="preserve">C1209</t>
  </si>
  <si>
    <t xml:space="preserve">diya.singh155@example.com</t>
  </si>
  <si>
    <t xml:space="preserve">O00155</t>
  </si>
  <si>
    <t xml:space="preserve">10:19</t>
  </si>
  <si>
    <t xml:space="preserve">14:38</t>
  </si>
  <si>
    <t xml:space="preserve">rohan.chowdhury156@example.com</t>
  </si>
  <si>
    <t xml:space="preserve">49 Main Road</t>
  </si>
  <si>
    <t xml:space="preserve">O00156</t>
  </si>
  <si>
    <t xml:space="preserve">21:50</t>
  </si>
  <si>
    <t xml:space="preserve">15:23</t>
  </si>
  <si>
    <t xml:space="preserve">C1173</t>
  </si>
  <si>
    <t xml:space="preserve">diya.verma157@example.com</t>
  </si>
  <si>
    <t xml:space="preserve">64 Park Road</t>
  </si>
  <si>
    <t xml:space="preserve">O00157</t>
  </si>
  <si>
    <t xml:space="preserve">12:16</t>
  </si>
  <si>
    <t xml:space="preserve">C1010</t>
  </si>
  <si>
    <t xml:space="preserve">ishaan.mishra158@example.com</t>
  </si>
  <si>
    <t xml:space="preserve">O00158</t>
  </si>
  <si>
    <t xml:space="preserve">17:40</t>
  </si>
  <si>
    <t xml:space="preserve">10:06</t>
  </si>
  <si>
    <t xml:space="preserve">sneha.mehta159@example.com</t>
  </si>
  <si>
    <t xml:space="preserve">66 Station Road</t>
  </si>
  <si>
    <t xml:space="preserve">O00159</t>
  </si>
  <si>
    <t xml:space="preserve">16:37</t>
  </si>
  <si>
    <t xml:space="preserve">20:36</t>
  </si>
  <si>
    <t xml:space="preserve">C1030</t>
  </si>
  <si>
    <t xml:space="preserve">sneha.bhat160@example.com</t>
  </si>
  <si>
    <t xml:space="preserve">94 Park Road</t>
  </si>
  <si>
    <t xml:space="preserve">O00160</t>
  </si>
  <si>
    <t xml:space="preserve">14:29</t>
  </si>
  <si>
    <t xml:space="preserve">rohan.chowdhury161@example.com</t>
  </si>
  <si>
    <t xml:space="preserve">44 Lake Road</t>
  </si>
  <si>
    <t xml:space="preserve">O00161</t>
  </si>
  <si>
    <t xml:space="preserve">18:51</t>
  </si>
  <si>
    <t xml:space="preserve">11:59</t>
  </si>
  <si>
    <t xml:space="preserve">sneha.rao162@example.com</t>
  </si>
  <si>
    <t xml:space="preserve">O00162</t>
  </si>
  <si>
    <t xml:space="preserve">14:01</t>
  </si>
  <si>
    <t xml:space="preserve">20:39</t>
  </si>
  <si>
    <t xml:space="preserve">C1048</t>
  </si>
  <si>
    <t xml:space="preserve">rohan.bhat163@example.com</t>
  </si>
  <si>
    <t xml:space="preserve">47 Main Road</t>
  </si>
  <si>
    <t xml:space="preserve">O00163</t>
  </si>
  <si>
    <t xml:space="preserve">11:29</t>
  </si>
  <si>
    <t xml:space="preserve">pooja.joshi164@example.com</t>
  </si>
  <si>
    <t xml:space="preserve">11 Park Road</t>
  </si>
  <si>
    <t xml:space="preserve">O00164</t>
  </si>
  <si>
    <t xml:space="preserve">13:07</t>
  </si>
  <si>
    <t xml:space="preserve">12:19</t>
  </si>
  <si>
    <t xml:space="preserve">diya.rao165@example.com</t>
  </si>
  <si>
    <t xml:space="preserve">69 Park Road</t>
  </si>
  <si>
    <t xml:space="preserve">O00165</t>
  </si>
  <si>
    <t xml:space="preserve">16:10</t>
  </si>
  <si>
    <t xml:space="preserve">16:18</t>
  </si>
  <si>
    <t xml:space="preserve">C1247</t>
  </si>
  <si>
    <t xml:space="preserve">ishaan.rao166@example.com</t>
  </si>
  <si>
    <t xml:space="preserve">O00166</t>
  </si>
  <si>
    <t xml:space="preserve">18:31</t>
  </si>
  <si>
    <t xml:space="preserve">15:43</t>
  </si>
  <si>
    <t xml:space="preserve">C1138</t>
  </si>
  <si>
    <t xml:space="preserve">pooja.mishra167@example.com</t>
  </si>
  <si>
    <t xml:space="preserve">37 Park Road</t>
  </si>
  <si>
    <t xml:space="preserve">O00167</t>
  </si>
  <si>
    <t xml:space="preserve">20:29</t>
  </si>
  <si>
    <t xml:space="preserve">18:47</t>
  </si>
  <si>
    <t xml:space="preserve">C1109</t>
  </si>
  <si>
    <t xml:space="preserve">pooja.kumar168@example.com</t>
  </si>
  <si>
    <t xml:space="preserve">14 Park Road</t>
  </si>
  <si>
    <t xml:space="preserve">O00168</t>
  </si>
  <si>
    <t xml:space="preserve">12:55</t>
  </si>
  <si>
    <t xml:space="preserve">09:28</t>
  </si>
  <si>
    <t xml:space="preserve">C1182</t>
  </si>
  <si>
    <t xml:space="preserve">vikram.mehta169@example.com</t>
  </si>
  <si>
    <t xml:space="preserve">79 MG Road</t>
  </si>
  <si>
    <t xml:space="preserve">O00169</t>
  </si>
  <si>
    <t xml:space="preserve">11:50</t>
  </si>
  <si>
    <t xml:space="preserve">C1244</t>
  </si>
  <si>
    <t xml:space="preserve">rohan.verma170@example.com</t>
  </si>
  <si>
    <t xml:space="preserve">66 Lake Road</t>
  </si>
  <si>
    <t xml:space="preserve">O00170</t>
  </si>
  <si>
    <t xml:space="preserve">ananya.gupta171@example.com</t>
  </si>
  <si>
    <t xml:space="preserve">81 Main Road</t>
  </si>
  <si>
    <t xml:space="preserve">O00171</t>
  </si>
  <si>
    <t xml:space="preserve">18:26</t>
  </si>
  <si>
    <t xml:space="preserve">15:28</t>
  </si>
  <si>
    <t xml:space="preserve">arjun.patel172@example.com</t>
  </si>
  <si>
    <t xml:space="preserve">90 Main Road</t>
  </si>
  <si>
    <t xml:space="preserve">O00172</t>
  </si>
  <si>
    <t xml:space="preserve">21:04</t>
  </si>
  <si>
    <t xml:space="preserve">C1202</t>
  </si>
  <si>
    <t xml:space="preserve">rohan.mishra173@example.com</t>
  </si>
  <si>
    <t xml:space="preserve">O00173</t>
  </si>
  <si>
    <t xml:space="preserve">08:06</t>
  </si>
  <si>
    <t xml:space="preserve">19:50</t>
  </si>
  <si>
    <t xml:space="preserve">C1078</t>
  </si>
  <si>
    <t xml:space="preserve">kiran.sharma174@example.com</t>
  </si>
  <si>
    <t xml:space="preserve">21 Main Road</t>
  </si>
  <si>
    <t xml:space="preserve">O00174</t>
  </si>
  <si>
    <t xml:space="preserve">09:41</t>
  </si>
  <si>
    <t xml:space="preserve">14:16</t>
  </si>
  <si>
    <t xml:space="preserve">C1181</t>
  </si>
  <si>
    <t xml:space="preserve">arjun.mehta175@example.com</t>
  </si>
  <si>
    <t xml:space="preserve">13 Lake Road</t>
  </si>
  <si>
    <t xml:space="preserve">O00175</t>
  </si>
  <si>
    <t xml:space="preserve">C1059</t>
  </si>
  <si>
    <t xml:space="preserve">manoj.nair176@example.com</t>
  </si>
  <si>
    <t xml:space="preserve">O00176</t>
  </si>
  <si>
    <t xml:space="preserve">19:51</t>
  </si>
  <si>
    <t xml:space="preserve">rahul.mehta177@example.com</t>
  </si>
  <si>
    <t xml:space="preserve">45 Park Road</t>
  </si>
  <si>
    <t xml:space="preserve">O00177</t>
  </si>
  <si>
    <t xml:space="preserve">11:58</t>
  </si>
  <si>
    <t xml:space="preserve">C1064</t>
  </si>
  <si>
    <t xml:space="preserve">nisha.bhat178@example.com</t>
  </si>
  <si>
    <t xml:space="preserve">36 Lake Road</t>
  </si>
  <si>
    <t xml:space="preserve">O00178</t>
  </si>
  <si>
    <t xml:space="preserve">11:35</t>
  </si>
  <si>
    <t xml:space="preserve">18:38</t>
  </si>
  <si>
    <t xml:space="preserve">C1127</t>
  </si>
  <si>
    <t xml:space="preserve">keerthi.das179@example.com</t>
  </si>
  <si>
    <t xml:space="preserve">O00179</t>
  </si>
  <si>
    <t xml:space="preserve">11:31</t>
  </si>
  <si>
    <t xml:space="preserve">19:38</t>
  </si>
  <si>
    <t xml:space="preserve">arjun.sharma180@example.com</t>
  </si>
  <si>
    <t xml:space="preserve">9 Lake Road</t>
  </si>
  <si>
    <t xml:space="preserve">O00180</t>
  </si>
  <si>
    <t xml:space="preserve">ananya.iyer181@example.com</t>
  </si>
  <si>
    <t xml:space="preserve">20 Main Road</t>
  </si>
  <si>
    <t xml:space="preserve">O00181</t>
  </si>
  <si>
    <t xml:space="preserve">09:19</t>
  </si>
  <si>
    <t xml:space="preserve">C1063</t>
  </si>
  <si>
    <t xml:space="preserve">rohan.singh182@example.com</t>
  </si>
  <si>
    <t xml:space="preserve">12 MG Road</t>
  </si>
  <si>
    <t xml:space="preserve">O00182</t>
  </si>
  <si>
    <t xml:space="preserve">09:29</t>
  </si>
  <si>
    <t xml:space="preserve">C1043</t>
  </si>
  <si>
    <t xml:space="preserve">ananya.das183@example.com</t>
  </si>
  <si>
    <t xml:space="preserve">48 Park Road</t>
  </si>
  <si>
    <t xml:space="preserve">O00183</t>
  </si>
  <si>
    <t xml:space="preserve">13:46</t>
  </si>
  <si>
    <t xml:space="preserve">C1093</t>
  </si>
  <si>
    <t xml:space="preserve">diya.sharma184@example.com</t>
  </si>
  <si>
    <t xml:space="preserve">8 MG Road</t>
  </si>
  <si>
    <t xml:space="preserve">O00184</t>
  </si>
  <si>
    <t xml:space="preserve">21:36</t>
  </si>
  <si>
    <t xml:space="preserve">11:23</t>
  </si>
  <si>
    <t xml:space="preserve">C1236</t>
  </si>
  <si>
    <t xml:space="preserve">kavya.gupta185@example.com</t>
  </si>
  <si>
    <t xml:space="preserve">20 Park Road</t>
  </si>
  <si>
    <t xml:space="preserve">O00185</t>
  </si>
  <si>
    <t xml:space="preserve">21:02</t>
  </si>
  <si>
    <t xml:space="preserve">nisha.nair186@example.com</t>
  </si>
  <si>
    <t xml:space="preserve">7 Park Road</t>
  </si>
  <si>
    <t xml:space="preserve">O00186</t>
  </si>
  <si>
    <t xml:space="preserve">C1201</t>
  </si>
  <si>
    <t xml:space="preserve">aditya.patel187@example.com</t>
  </si>
  <si>
    <t xml:space="preserve">39 Station Road</t>
  </si>
  <si>
    <t xml:space="preserve">O00187</t>
  </si>
  <si>
    <t xml:space="preserve">C1225</t>
  </si>
  <si>
    <t xml:space="preserve">pooja.verma188@example.com</t>
  </si>
  <si>
    <t xml:space="preserve">2 Main Road</t>
  </si>
  <si>
    <t xml:space="preserve">O00188</t>
  </si>
  <si>
    <t xml:space="preserve">08:48</t>
  </si>
  <si>
    <t xml:space="preserve">19:24</t>
  </si>
  <si>
    <t xml:space="preserve">meera.kumar189@example.com</t>
  </si>
  <si>
    <t xml:space="preserve">30 Station Road</t>
  </si>
  <si>
    <t xml:space="preserve">O00189</t>
  </si>
  <si>
    <t xml:space="preserve">14:44</t>
  </si>
  <si>
    <t xml:space="preserve">arjun.kumar190@example.com</t>
  </si>
  <si>
    <t xml:space="preserve">51 Main Road</t>
  </si>
  <si>
    <t xml:space="preserve">O00190</t>
  </si>
  <si>
    <t xml:space="preserve">13:28</t>
  </si>
  <si>
    <t xml:space="preserve">arjun.verma191@example.com</t>
  </si>
  <si>
    <t xml:space="preserve">40 MG Road</t>
  </si>
  <si>
    <t xml:space="preserve">O00191</t>
  </si>
  <si>
    <t xml:space="preserve">12:54</t>
  </si>
  <si>
    <t xml:space="preserve">kavya.das192@example.com</t>
  </si>
  <si>
    <t xml:space="preserve">39 Main Road</t>
  </si>
  <si>
    <t xml:space="preserve">O00192</t>
  </si>
  <si>
    <t xml:space="preserve">21:11</t>
  </si>
  <si>
    <t xml:space="preserve">09:25</t>
  </si>
  <si>
    <t xml:space="preserve">C1096</t>
  </si>
  <si>
    <t xml:space="preserve">kiran.nair193@example.com</t>
  </si>
  <si>
    <t xml:space="preserve">88 Lake Road</t>
  </si>
  <si>
    <t xml:space="preserve">O00193</t>
  </si>
  <si>
    <t xml:space="preserve">17:37</t>
  </si>
  <si>
    <t xml:space="preserve">13:58</t>
  </si>
  <si>
    <t xml:space="preserve">arjun.sharma194@example.com</t>
  </si>
  <si>
    <t xml:space="preserve">22 Station Road</t>
  </si>
  <si>
    <t xml:space="preserve">O00194</t>
  </si>
  <si>
    <t xml:space="preserve">14:52</t>
  </si>
  <si>
    <t xml:space="preserve">20:25</t>
  </si>
  <si>
    <t xml:space="preserve">pooja.sharma195@example.com</t>
  </si>
  <si>
    <t xml:space="preserve">79 Station Road</t>
  </si>
  <si>
    <t xml:space="preserve">O00195</t>
  </si>
  <si>
    <t xml:space="preserve">17:15</t>
  </si>
  <si>
    <t xml:space="preserve">19:18</t>
  </si>
  <si>
    <t xml:space="preserve">pooja.mishra196@example.com</t>
  </si>
  <si>
    <t xml:space="preserve">81 Station Road</t>
  </si>
  <si>
    <t xml:space="preserve">O00196</t>
  </si>
  <si>
    <t xml:space="preserve">20:01</t>
  </si>
  <si>
    <t xml:space="preserve">priya.chowdhury197@example.com</t>
  </si>
  <si>
    <t xml:space="preserve">O00197</t>
  </si>
  <si>
    <t xml:space="preserve">20:30</t>
  </si>
  <si>
    <t xml:space="preserve">C1091</t>
  </si>
  <si>
    <t xml:space="preserve">manoj.nair198@example.com</t>
  </si>
  <si>
    <t xml:space="preserve">23 Park Road</t>
  </si>
  <si>
    <t xml:space="preserve">O00198</t>
  </si>
  <si>
    <t xml:space="preserve">11:37</t>
  </si>
  <si>
    <t xml:space="preserve">14:51</t>
  </si>
  <si>
    <t xml:space="preserve">priya.sharma199@example.com</t>
  </si>
  <si>
    <t xml:space="preserve">29 Lake Road</t>
  </si>
  <si>
    <t xml:space="preserve">O00199</t>
  </si>
  <si>
    <t xml:space="preserve">16:30</t>
  </si>
  <si>
    <t xml:space="preserve">09:21</t>
  </si>
  <si>
    <t xml:space="preserve">keerthi.verma200@example.com</t>
  </si>
  <si>
    <t xml:space="preserve">O00200</t>
  </si>
  <si>
    <t xml:space="preserve">C1045</t>
  </si>
  <si>
    <t xml:space="preserve">manoj.kumar201@example.com</t>
  </si>
  <si>
    <t xml:space="preserve">91 Station Road</t>
  </si>
  <si>
    <t xml:space="preserve">O00201</t>
  </si>
  <si>
    <t xml:space="preserve">19:56</t>
  </si>
  <si>
    <t xml:space="preserve">18:50</t>
  </si>
  <si>
    <t xml:space="preserve">priya.nair202@example.com</t>
  </si>
  <si>
    <t xml:space="preserve">24 Station Road</t>
  </si>
  <si>
    <t xml:space="preserve">O00202</t>
  </si>
  <si>
    <t xml:space="preserve">C1211</t>
  </si>
  <si>
    <t xml:space="preserve">manoj.kumar203@example.com</t>
  </si>
  <si>
    <t xml:space="preserve">91 Main Road</t>
  </si>
  <si>
    <t xml:space="preserve">O00203</t>
  </si>
  <si>
    <t xml:space="preserve">15:00</t>
  </si>
  <si>
    <t xml:space="preserve">13:13</t>
  </si>
  <si>
    <t xml:space="preserve">C1227</t>
  </si>
  <si>
    <t xml:space="preserve">sneha.patel204@example.com</t>
  </si>
  <si>
    <t xml:space="preserve">53 MG Road</t>
  </si>
  <si>
    <t xml:space="preserve">O00204</t>
  </si>
  <si>
    <t xml:space="preserve">14:22</t>
  </si>
  <si>
    <t xml:space="preserve">17:24</t>
  </si>
  <si>
    <t xml:space="preserve">diya.chowdhury205@example.com</t>
  </si>
  <si>
    <t xml:space="preserve">O00205</t>
  </si>
  <si>
    <t xml:space="preserve">13:10</t>
  </si>
  <si>
    <t xml:space="preserve">15:10</t>
  </si>
  <si>
    <t xml:space="preserve">C1250</t>
  </si>
  <si>
    <t xml:space="preserve">arjun.patel206@example.com</t>
  </si>
  <si>
    <t xml:space="preserve">O00206</t>
  </si>
  <si>
    <t xml:space="preserve">20:59</t>
  </si>
  <si>
    <t xml:space="preserve">C1110</t>
  </si>
  <si>
    <t xml:space="preserve">sanjana.gupta207@example.com</t>
  </si>
  <si>
    <t xml:space="preserve">12 Main Road</t>
  </si>
  <si>
    <t xml:space="preserve">O00207</t>
  </si>
  <si>
    <t xml:space="preserve">21:42</t>
  </si>
  <si>
    <t xml:space="preserve">pooja.verma208@example.com</t>
  </si>
  <si>
    <t xml:space="preserve">63 Main Road</t>
  </si>
  <si>
    <t xml:space="preserve">O00208</t>
  </si>
  <si>
    <t xml:space="preserve">C1145</t>
  </si>
  <si>
    <t xml:space="preserve">kavya.mehta209@example.com</t>
  </si>
  <si>
    <t xml:space="preserve">8 Park Road</t>
  </si>
  <si>
    <t xml:space="preserve">O00209</t>
  </si>
  <si>
    <t xml:space="preserve">19:06</t>
  </si>
  <si>
    <t xml:space="preserve">C1147</t>
  </si>
  <si>
    <t xml:space="preserve">arjun.mehta210@example.com</t>
  </si>
  <si>
    <t xml:space="preserve">O00210</t>
  </si>
  <si>
    <t xml:space="preserve">12:05</t>
  </si>
  <si>
    <t xml:space="preserve">15:57</t>
  </si>
  <si>
    <t xml:space="preserve">ananya.singh211@example.com</t>
  </si>
  <si>
    <t xml:space="preserve">56 Park Road</t>
  </si>
  <si>
    <t xml:space="preserve">O00211</t>
  </si>
  <si>
    <t xml:space="preserve">11:53</t>
  </si>
  <si>
    <t xml:space="preserve">keerthi.gupta212@example.com</t>
  </si>
  <si>
    <t xml:space="preserve">90 Station Road</t>
  </si>
  <si>
    <t xml:space="preserve">O00212</t>
  </si>
  <si>
    <t xml:space="preserve">15:07</t>
  </si>
  <si>
    <t xml:space="preserve">C1099</t>
  </si>
  <si>
    <t xml:space="preserve">nisha.singh213@example.com</t>
  </si>
  <si>
    <t xml:space="preserve">84 MG Road</t>
  </si>
  <si>
    <t xml:space="preserve">O00213</t>
  </si>
  <si>
    <t xml:space="preserve">17:38</t>
  </si>
  <si>
    <t xml:space="preserve">C1122</t>
  </si>
  <si>
    <t xml:space="preserve">kavya.gupta214@example.com</t>
  </si>
  <si>
    <t xml:space="preserve">35 Main Road</t>
  </si>
  <si>
    <t xml:space="preserve">O00214</t>
  </si>
  <si>
    <t xml:space="preserve">08:21</t>
  </si>
  <si>
    <t xml:space="preserve">vikram.chowdhury215@example.com</t>
  </si>
  <si>
    <t xml:space="preserve">O00215</t>
  </si>
  <si>
    <t xml:space="preserve">C1226</t>
  </si>
  <si>
    <t xml:space="preserve">nisha.chowdhury216@example.com</t>
  </si>
  <si>
    <t xml:space="preserve">O00216</t>
  </si>
  <si>
    <t xml:space="preserve">10:12</t>
  </si>
  <si>
    <t xml:space="preserve">ananya.nair217@example.com</t>
  </si>
  <si>
    <t xml:space="preserve">4 Park Road</t>
  </si>
  <si>
    <t xml:space="preserve">O00217</t>
  </si>
  <si>
    <t xml:space="preserve">13:31</t>
  </si>
  <si>
    <t xml:space="preserve">18:28</t>
  </si>
  <si>
    <t xml:space="preserve">kavya.chowdhury218@example.com</t>
  </si>
  <si>
    <t xml:space="preserve">O00218</t>
  </si>
  <si>
    <t xml:space="preserve">sneha.nair219@example.com</t>
  </si>
  <si>
    <t xml:space="preserve">23 Station Road</t>
  </si>
  <si>
    <t xml:space="preserve">O00219</t>
  </si>
  <si>
    <t xml:space="preserve">C1102</t>
  </si>
  <si>
    <t xml:space="preserve">keerthi.das220@example.com</t>
  </si>
  <si>
    <t xml:space="preserve">75 Lake Road</t>
  </si>
  <si>
    <t xml:space="preserve">O00220</t>
  </si>
  <si>
    <t xml:space="preserve">08:32</t>
  </si>
  <si>
    <t xml:space="preserve">19:53</t>
  </si>
  <si>
    <t xml:space="preserve">C1183</t>
  </si>
  <si>
    <t xml:space="preserve">priya.das221@example.com</t>
  </si>
  <si>
    <t xml:space="preserve">O00221</t>
  </si>
  <si>
    <t xml:space="preserve">11:09</t>
  </si>
  <si>
    <t xml:space="preserve">17:48</t>
  </si>
  <si>
    <t xml:space="preserve">C1233</t>
  </si>
  <si>
    <t xml:space="preserve">sneha.reddy222@example.com</t>
  </si>
  <si>
    <t xml:space="preserve">54 MG Road</t>
  </si>
  <si>
    <t xml:space="preserve">O00222</t>
  </si>
  <si>
    <t xml:space="preserve">14:47</t>
  </si>
  <si>
    <t xml:space="preserve">09:37</t>
  </si>
  <si>
    <t xml:space="preserve">C1216</t>
  </si>
  <si>
    <t xml:space="preserve">manoj.verma223@example.com</t>
  </si>
  <si>
    <t xml:space="preserve">85 Station Road</t>
  </si>
  <si>
    <t xml:space="preserve">O00223</t>
  </si>
  <si>
    <t xml:space="preserve">10:18</t>
  </si>
  <si>
    <t xml:space="preserve">10:30</t>
  </si>
  <si>
    <t xml:space="preserve">ishaan.gupta224@example.com</t>
  </si>
  <si>
    <t xml:space="preserve">34 Station Road</t>
  </si>
  <si>
    <t xml:space="preserve">O00224</t>
  </si>
  <si>
    <t xml:space="preserve">ananya.patel225@example.com</t>
  </si>
  <si>
    <t xml:space="preserve">44 MG Road</t>
  </si>
  <si>
    <t xml:space="preserve">O00225</t>
  </si>
  <si>
    <t xml:space="preserve">17:57</t>
  </si>
  <si>
    <t xml:space="preserve">16:09</t>
  </si>
  <si>
    <t xml:space="preserve">C1195</t>
  </si>
  <si>
    <t xml:space="preserve">rahul.rao226@example.com</t>
  </si>
  <si>
    <t xml:space="preserve">O00226</t>
  </si>
  <si>
    <t xml:space="preserve">20:10</t>
  </si>
  <si>
    <t xml:space="preserve">16:50</t>
  </si>
  <si>
    <t xml:space="preserve">arjun.singh227@example.com</t>
  </si>
  <si>
    <t xml:space="preserve">O00227</t>
  </si>
  <si>
    <t xml:space="preserve">20:53</t>
  </si>
  <si>
    <t xml:space="preserve">17:12</t>
  </si>
  <si>
    <t xml:space="preserve">aarav.sharma228@example.com</t>
  </si>
  <si>
    <t xml:space="preserve">6 Main Road</t>
  </si>
  <si>
    <t xml:space="preserve">O00228</t>
  </si>
  <si>
    <t xml:space="preserve">20:33</t>
  </si>
  <si>
    <t xml:space="preserve">C1187</t>
  </si>
  <si>
    <t xml:space="preserve">keerthi.joshi229@example.com</t>
  </si>
  <si>
    <t xml:space="preserve">17 Park Road</t>
  </si>
  <si>
    <t xml:space="preserve">O00229</t>
  </si>
  <si>
    <t xml:space="preserve">19:01</t>
  </si>
  <si>
    <t xml:space="preserve">kavya.kumar230@example.com</t>
  </si>
  <si>
    <t xml:space="preserve">85 Lake Road</t>
  </si>
  <si>
    <t xml:space="preserve">O00230</t>
  </si>
  <si>
    <t xml:space="preserve">18:53</t>
  </si>
  <si>
    <t xml:space="preserve">diya.mishra231@example.com</t>
  </si>
  <si>
    <t xml:space="preserve">O00231</t>
  </si>
  <si>
    <t xml:space="preserve">18:06</t>
  </si>
  <si>
    <t xml:space="preserve">19:33</t>
  </si>
  <si>
    <t xml:space="preserve">C1200</t>
  </si>
  <si>
    <t xml:space="preserve">vikram.singh232@example.com</t>
  </si>
  <si>
    <t xml:space="preserve">O00232</t>
  </si>
  <si>
    <t xml:space="preserve">11:22</t>
  </si>
  <si>
    <t xml:space="preserve">20:26</t>
  </si>
  <si>
    <t xml:space="preserve">C1214</t>
  </si>
  <si>
    <t xml:space="preserve">meera.rao233@example.com</t>
  </si>
  <si>
    <t xml:space="preserve">74 MG Road</t>
  </si>
  <si>
    <t xml:space="preserve">O00233</t>
  </si>
  <si>
    <t xml:space="preserve">diya.gupta234@example.com</t>
  </si>
  <si>
    <t xml:space="preserve">55 Lake Road</t>
  </si>
  <si>
    <t xml:space="preserve">O00234</t>
  </si>
  <si>
    <t xml:space="preserve">09:00</t>
  </si>
  <si>
    <t xml:space="preserve">C1103</t>
  </si>
  <si>
    <t xml:space="preserve">ishaan.rao235@example.com</t>
  </si>
  <si>
    <t xml:space="preserve">O00235</t>
  </si>
  <si>
    <t xml:space="preserve">15:44</t>
  </si>
  <si>
    <t xml:space="preserve">C1124</t>
  </si>
  <si>
    <t xml:space="preserve">pooja.mishra236@example.com</t>
  </si>
  <si>
    <t xml:space="preserve">73 MG Road</t>
  </si>
  <si>
    <t xml:space="preserve">O00236</t>
  </si>
  <si>
    <t xml:space="preserve">15:49</t>
  </si>
  <si>
    <t xml:space="preserve">priya.sharma237@example.com</t>
  </si>
  <si>
    <t xml:space="preserve">O00237</t>
  </si>
  <si>
    <t xml:space="preserve">20:47</t>
  </si>
  <si>
    <t xml:space="preserve">18:46</t>
  </si>
  <si>
    <t xml:space="preserve">C1215</t>
  </si>
  <si>
    <t xml:space="preserve">manoj.nair238@example.com</t>
  </si>
  <si>
    <t xml:space="preserve">O00238</t>
  </si>
  <si>
    <t xml:space="preserve">19:59</t>
  </si>
  <si>
    <t xml:space="preserve">C1165</t>
  </si>
  <si>
    <t xml:space="preserve">kavya.chowdhury239@example.com</t>
  </si>
  <si>
    <t xml:space="preserve">49 MG Road</t>
  </si>
  <si>
    <t xml:space="preserve">O00239</t>
  </si>
  <si>
    <t xml:space="preserve">21:15</t>
  </si>
  <si>
    <t xml:space="preserve">kiran.bhat240@example.com</t>
  </si>
  <si>
    <t xml:space="preserve">O00240</t>
  </si>
  <si>
    <t xml:space="preserve">08:52</t>
  </si>
  <si>
    <t xml:space="preserve">10:50</t>
  </si>
  <si>
    <t xml:space="preserve">C1197</t>
  </si>
  <si>
    <t xml:space="preserve">keerthi.das241@example.com</t>
  </si>
  <si>
    <t xml:space="preserve">O00241</t>
  </si>
  <si>
    <t xml:space="preserve">15:45</t>
  </si>
  <si>
    <t xml:space="preserve">19:23</t>
  </si>
  <si>
    <t xml:space="preserve">C1180</t>
  </si>
  <si>
    <t xml:space="preserve">kiran.kumar242@example.com</t>
  </si>
  <si>
    <t xml:space="preserve">O00242</t>
  </si>
  <si>
    <t xml:space="preserve">nisha.kumar243@example.com</t>
  </si>
  <si>
    <t xml:space="preserve">82 Station Road</t>
  </si>
  <si>
    <t xml:space="preserve">O00243</t>
  </si>
  <si>
    <t xml:space="preserve">09:49</t>
  </si>
  <si>
    <t xml:space="preserve">16:29</t>
  </si>
  <si>
    <t xml:space="preserve">manoj.singh244@example.com</t>
  </si>
  <si>
    <t xml:space="preserve">O00244</t>
  </si>
  <si>
    <t xml:space="preserve">11:06</t>
  </si>
  <si>
    <t xml:space="preserve">aditya.joshi245@example.com</t>
  </si>
  <si>
    <t xml:space="preserve">53 Station Road</t>
  </si>
  <si>
    <t xml:space="preserve">O00245</t>
  </si>
  <si>
    <t xml:space="preserve">20:32</t>
  </si>
  <si>
    <t xml:space="preserve">meera.joshi246@example.com</t>
  </si>
  <si>
    <t xml:space="preserve">70 Main Road</t>
  </si>
  <si>
    <t xml:space="preserve">O00246</t>
  </si>
  <si>
    <t xml:space="preserve">19:07</t>
  </si>
  <si>
    <t xml:space="preserve">pooja.mishra247@example.com</t>
  </si>
  <si>
    <t xml:space="preserve">97 Park Road</t>
  </si>
  <si>
    <t xml:space="preserve">O00247</t>
  </si>
  <si>
    <t xml:space="preserve">13:09</t>
  </si>
  <si>
    <t xml:space="preserve">C1191</t>
  </si>
  <si>
    <t xml:space="preserve">ananya.das248@example.com</t>
  </si>
  <si>
    <t xml:space="preserve">83 Station Road</t>
  </si>
  <si>
    <t xml:space="preserve">O00248</t>
  </si>
  <si>
    <t xml:space="preserve">meera.reddy249@example.com</t>
  </si>
  <si>
    <t xml:space="preserve">57 Park Road</t>
  </si>
  <si>
    <t xml:space="preserve">O00249</t>
  </si>
  <si>
    <t xml:space="preserve">18:45</t>
  </si>
  <si>
    <t xml:space="preserve">20:41</t>
  </si>
  <si>
    <t xml:space="preserve">priya.verma250@example.com</t>
  </si>
  <si>
    <t xml:space="preserve">O00250</t>
  </si>
  <si>
    <t xml:space="preserve">16:16</t>
  </si>
  <si>
    <t xml:space="preserve">manoj.gupta251@example.com</t>
  </si>
  <si>
    <t xml:space="preserve">63 Station Road</t>
  </si>
  <si>
    <t xml:space="preserve">O00251</t>
  </si>
  <si>
    <t xml:space="preserve">rahul.nair252@example.com</t>
  </si>
  <si>
    <t xml:space="preserve">O00252</t>
  </si>
  <si>
    <t xml:space="preserve">13:18</t>
  </si>
  <si>
    <t xml:space="preserve">keerthi.chowdhury253@example.com</t>
  </si>
  <si>
    <t xml:space="preserve">42 MG Road</t>
  </si>
  <si>
    <t xml:space="preserve">O00253</t>
  </si>
  <si>
    <t xml:space="preserve">C1022</t>
  </si>
  <si>
    <t xml:space="preserve">sanjana.das254@example.com</t>
  </si>
  <si>
    <t xml:space="preserve">13 Park Road</t>
  </si>
  <si>
    <t xml:space="preserve">O00254</t>
  </si>
  <si>
    <t xml:space="preserve">20:34</t>
  </si>
  <si>
    <t xml:space="preserve">17:00</t>
  </si>
  <si>
    <t xml:space="preserve">arjun.verma255@example.com</t>
  </si>
  <si>
    <t xml:space="preserve">O00255</t>
  </si>
  <si>
    <t xml:space="preserve">08:05</t>
  </si>
  <si>
    <t xml:space="preserve">10:03</t>
  </si>
  <si>
    <t xml:space="preserve">C1005</t>
  </si>
  <si>
    <t xml:space="preserve">kavya.gupta256@example.com</t>
  </si>
  <si>
    <t xml:space="preserve">O00256</t>
  </si>
  <si>
    <t xml:space="preserve">19:46</t>
  </si>
  <si>
    <t xml:space="preserve">keerthi.patel257@example.com</t>
  </si>
  <si>
    <t xml:space="preserve">57 MG Road</t>
  </si>
  <si>
    <t xml:space="preserve">O00257</t>
  </si>
  <si>
    <t xml:space="preserve">C1077</t>
  </si>
  <si>
    <t xml:space="preserve">pooja.rao258@example.com</t>
  </si>
  <si>
    <t xml:space="preserve">87 Main Road</t>
  </si>
  <si>
    <t xml:space="preserve">O00258</t>
  </si>
  <si>
    <t xml:space="preserve">diya.reddy259@example.com</t>
  </si>
  <si>
    <t xml:space="preserve">O00259</t>
  </si>
  <si>
    <t xml:space="preserve">10:11</t>
  </si>
  <si>
    <t xml:space="preserve">C1026</t>
  </si>
  <si>
    <t xml:space="preserve">vikram.verma260@example.com</t>
  </si>
  <si>
    <t xml:space="preserve">26 Station Road</t>
  </si>
  <si>
    <t xml:space="preserve">O00260</t>
  </si>
  <si>
    <t xml:space="preserve">15:21</t>
  </si>
  <si>
    <t xml:space="preserve">sneha.kumar261@example.com</t>
  </si>
  <si>
    <t xml:space="preserve">73 Station Road</t>
  </si>
  <si>
    <t xml:space="preserve">O00261</t>
  </si>
  <si>
    <t xml:space="preserve">13:51</t>
  </si>
  <si>
    <t xml:space="preserve">14:27</t>
  </si>
  <si>
    <t xml:space="preserve">kavya.sharma262@example.com</t>
  </si>
  <si>
    <t xml:space="preserve">O00262</t>
  </si>
  <si>
    <t xml:space="preserve">15:22</t>
  </si>
  <si>
    <t xml:space="preserve">sanjana.kumar263@example.com</t>
  </si>
  <si>
    <t xml:space="preserve">65 Lake Road</t>
  </si>
  <si>
    <t xml:space="preserve">O00263</t>
  </si>
  <si>
    <t xml:space="preserve">21:37</t>
  </si>
  <si>
    <t xml:space="preserve">18:25</t>
  </si>
  <si>
    <t xml:space="preserve">C1188</t>
  </si>
  <si>
    <t xml:space="preserve">manoj.verma264@example.com</t>
  </si>
  <si>
    <t xml:space="preserve">38 Park Road</t>
  </si>
  <si>
    <t xml:space="preserve">O00264</t>
  </si>
  <si>
    <t xml:space="preserve">15:32</t>
  </si>
  <si>
    <t xml:space="preserve">C1189</t>
  </si>
  <si>
    <t xml:space="preserve">aditya.mehta265@example.com</t>
  </si>
  <si>
    <t xml:space="preserve">94 MG Road</t>
  </si>
  <si>
    <t xml:space="preserve">O00265</t>
  </si>
  <si>
    <t xml:space="preserve">13:02</t>
  </si>
  <si>
    <t xml:space="preserve">pooja.nair266@example.com</t>
  </si>
  <si>
    <t xml:space="preserve">6 Lake Road</t>
  </si>
  <si>
    <t xml:space="preserve">O00266</t>
  </si>
  <si>
    <t xml:space="preserve">varun.gupta267@example.com</t>
  </si>
  <si>
    <t xml:space="preserve">29 Station Road</t>
  </si>
  <si>
    <t xml:space="preserve">O00267</t>
  </si>
  <si>
    <t xml:space="preserve">14:31</t>
  </si>
  <si>
    <t xml:space="preserve">pooja.sharma268@example.com</t>
  </si>
  <si>
    <t xml:space="preserve">O00268</t>
  </si>
  <si>
    <t xml:space="preserve">19:52</t>
  </si>
  <si>
    <t xml:space="preserve">10:42</t>
  </si>
  <si>
    <t xml:space="preserve">C1006</t>
  </si>
  <si>
    <t xml:space="preserve">sneha.mishra269@example.com</t>
  </si>
  <si>
    <t xml:space="preserve">O00269</t>
  </si>
  <si>
    <t xml:space="preserve">18:10</t>
  </si>
  <si>
    <t xml:space="preserve">ishaan.reddy270@example.com</t>
  </si>
  <si>
    <t xml:space="preserve">3 Main Road</t>
  </si>
  <si>
    <t xml:space="preserve">O00270</t>
  </si>
  <si>
    <t xml:space="preserve">09:13</t>
  </si>
  <si>
    <t xml:space="preserve">16:38</t>
  </si>
  <si>
    <t xml:space="preserve">pooja.chowdhury271@example.com</t>
  </si>
  <si>
    <t xml:space="preserve">22 Main Road</t>
  </si>
  <si>
    <t xml:space="preserve">O00271</t>
  </si>
  <si>
    <t xml:space="preserve">15:38</t>
  </si>
  <si>
    <t xml:space="preserve">18:04</t>
  </si>
  <si>
    <t xml:space="preserve">sneha.iyer272@example.com</t>
  </si>
  <si>
    <t xml:space="preserve">O00272</t>
  </si>
  <si>
    <t xml:space="preserve">C1095</t>
  </si>
  <si>
    <t xml:space="preserve">ananya.kumar273@example.com</t>
  </si>
  <si>
    <t xml:space="preserve">6 Station Road</t>
  </si>
  <si>
    <t xml:space="preserve">O00273</t>
  </si>
  <si>
    <t xml:space="preserve">14:14</t>
  </si>
  <si>
    <t xml:space="preserve">aditya.mehta274@example.com</t>
  </si>
  <si>
    <t xml:space="preserve">O00274</t>
  </si>
  <si>
    <t xml:space="preserve">08:45</t>
  </si>
  <si>
    <t xml:space="preserve">20:50</t>
  </si>
  <si>
    <t xml:space="preserve">aarav.kumar275@example.com</t>
  </si>
  <si>
    <t xml:space="preserve">55 Station Road</t>
  </si>
  <si>
    <t xml:space="preserve">O00275</t>
  </si>
  <si>
    <t xml:space="preserve">17:27</t>
  </si>
  <si>
    <t xml:space="preserve">manoj.mehta276@example.com</t>
  </si>
  <si>
    <t xml:space="preserve">45 MG Road</t>
  </si>
  <si>
    <t xml:space="preserve">O00276</t>
  </si>
  <si>
    <t xml:space="preserve">sneha.bhat277@example.com</t>
  </si>
  <si>
    <t xml:space="preserve">O00277</t>
  </si>
  <si>
    <t xml:space="preserve">14:40</t>
  </si>
  <si>
    <t xml:space="preserve">arjun.singh278@example.com</t>
  </si>
  <si>
    <t xml:space="preserve">O00278</t>
  </si>
  <si>
    <t xml:space="preserve">12:45</t>
  </si>
  <si>
    <t xml:space="preserve">kavya.chowdhury279@example.com</t>
  </si>
  <si>
    <t xml:space="preserve">22 Lake Road</t>
  </si>
  <si>
    <t xml:space="preserve">O00279</t>
  </si>
  <si>
    <t xml:space="preserve">13:15</t>
  </si>
  <si>
    <t xml:space="preserve">19:00</t>
  </si>
  <si>
    <t xml:space="preserve">kavya.patel280@example.com</t>
  </si>
  <si>
    <t xml:space="preserve">37 Station Road</t>
  </si>
  <si>
    <t xml:space="preserve">O00280</t>
  </si>
  <si>
    <t xml:space="preserve">C1076</t>
  </si>
  <si>
    <t xml:space="preserve">vikram.nair281@example.com</t>
  </si>
  <si>
    <t xml:space="preserve">O00281</t>
  </si>
  <si>
    <t xml:space="preserve">13:56</t>
  </si>
  <si>
    <t xml:space="preserve">sanjana.gupta282@example.com</t>
  </si>
  <si>
    <t xml:space="preserve">4 MG Road</t>
  </si>
  <si>
    <t xml:space="preserve">O00282</t>
  </si>
  <si>
    <t xml:space="preserve">09:16</t>
  </si>
  <si>
    <t xml:space="preserve">10:24</t>
  </si>
  <si>
    <t xml:space="preserve">sneha.nair283@example.com</t>
  </si>
  <si>
    <t xml:space="preserve">O00283</t>
  </si>
  <si>
    <t xml:space="preserve">09:35</t>
  </si>
  <si>
    <t xml:space="preserve">rahul.mehta284@example.com</t>
  </si>
  <si>
    <t xml:space="preserve">30 Park Road</t>
  </si>
  <si>
    <t xml:space="preserve">O00284</t>
  </si>
  <si>
    <t xml:space="preserve">ishaan.kumar285@example.com</t>
  </si>
  <si>
    <t xml:space="preserve">O00285</t>
  </si>
  <si>
    <t xml:space="preserve">kavya.gupta286@example.com</t>
  </si>
  <si>
    <t xml:space="preserve">51 Park Road</t>
  </si>
  <si>
    <t xml:space="preserve">O00286</t>
  </si>
  <si>
    <t xml:space="preserve">kiran.joshi287@example.com</t>
  </si>
  <si>
    <t xml:space="preserve">35 MG Road</t>
  </si>
  <si>
    <t xml:space="preserve">O00287</t>
  </si>
  <si>
    <t xml:space="preserve">17:21</t>
  </si>
  <si>
    <t xml:space="preserve">14:11</t>
  </si>
  <si>
    <t xml:space="preserve">pooja.mishra288@example.com</t>
  </si>
  <si>
    <t xml:space="preserve">13 Main Road</t>
  </si>
  <si>
    <t xml:space="preserve">O00288</t>
  </si>
  <si>
    <t xml:space="preserve">aditya.verma289@example.com</t>
  </si>
  <si>
    <t xml:space="preserve">O00289</t>
  </si>
  <si>
    <t xml:space="preserve">C1067</t>
  </si>
  <si>
    <t xml:space="preserve">aditya.kumar290@example.com</t>
  </si>
  <si>
    <t xml:space="preserve">O00290</t>
  </si>
  <si>
    <t xml:space="preserve">16:35</t>
  </si>
  <si>
    <t xml:space="preserve">aarav.mishra291@example.com</t>
  </si>
  <si>
    <t xml:space="preserve">O00291</t>
  </si>
  <si>
    <t xml:space="preserve">18:18</t>
  </si>
  <si>
    <t xml:space="preserve">kiran.singh292@example.com</t>
  </si>
  <si>
    <t xml:space="preserve">41 Main Road</t>
  </si>
  <si>
    <t xml:space="preserve">O00292</t>
  </si>
  <si>
    <t xml:space="preserve">20:17</t>
  </si>
  <si>
    <t xml:space="preserve">keerthi.iyer293@example.com</t>
  </si>
  <si>
    <t xml:space="preserve">33 Lake Road</t>
  </si>
  <si>
    <t xml:space="preserve">O00293</t>
  </si>
  <si>
    <t xml:space="preserve">15:06</t>
  </si>
  <si>
    <t xml:space="preserve">diya.patel294@example.com</t>
  </si>
  <si>
    <t xml:space="preserve">32 Main Road</t>
  </si>
  <si>
    <t xml:space="preserve">O00294</t>
  </si>
  <si>
    <t xml:space="preserve">15:40</t>
  </si>
  <si>
    <t xml:space="preserve">11:08</t>
  </si>
  <si>
    <t xml:space="preserve">C1249</t>
  </si>
  <si>
    <t xml:space="preserve">varun.rao295@example.com</t>
  </si>
  <si>
    <t xml:space="preserve">O00295</t>
  </si>
  <si>
    <t xml:space="preserve">10:37</t>
  </si>
  <si>
    <t xml:space="preserve">18:29</t>
  </si>
  <si>
    <t xml:space="preserve">manoj.mishra296@example.com</t>
  </si>
  <si>
    <t xml:space="preserve">O00296</t>
  </si>
  <si>
    <t xml:space="preserve">17:52</t>
  </si>
  <si>
    <t xml:space="preserve">ishaan.mehta297@example.com</t>
  </si>
  <si>
    <t xml:space="preserve">30 Lake Road</t>
  </si>
  <si>
    <t xml:space="preserve">O00297</t>
  </si>
  <si>
    <t xml:space="preserve">16:23</t>
  </si>
  <si>
    <t xml:space="preserve">12:26</t>
  </si>
  <si>
    <t xml:space="preserve">sanjana.mishra298@example.com</t>
  </si>
  <si>
    <t xml:space="preserve">67 Station Road</t>
  </si>
  <si>
    <t xml:space="preserve">O00298</t>
  </si>
  <si>
    <t xml:space="preserve">19:17</t>
  </si>
  <si>
    <t xml:space="preserve">meera.gupta299@example.com</t>
  </si>
  <si>
    <t xml:space="preserve">80 MG Road</t>
  </si>
  <si>
    <t xml:space="preserve">O00299</t>
  </si>
  <si>
    <t xml:space="preserve">11:20</t>
  </si>
  <si>
    <t xml:space="preserve">09:09</t>
  </si>
  <si>
    <t xml:space="preserve">ananya.sharma300@example.com</t>
  </si>
  <si>
    <t xml:space="preserve">28 Main Road</t>
  </si>
  <si>
    <t xml:space="preserve">O00300</t>
  </si>
  <si>
    <t xml:space="preserve">kiran.reddy301@example.com</t>
  </si>
  <si>
    <t xml:space="preserve">O00301</t>
  </si>
  <si>
    <t xml:space="preserve">21:00</t>
  </si>
  <si>
    <t xml:space="preserve">C1054</t>
  </si>
  <si>
    <t xml:space="preserve">sneha.iyer302@example.com</t>
  </si>
  <si>
    <t xml:space="preserve">O00302</t>
  </si>
  <si>
    <t xml:space="preserve">14:10</t>
  </si>
  <si>
    <t xml:space="preserve">ananya.kumar303@example.com</t>
  </si>
  <si>
    <t xml:space="preserve">42 Lake Road</t>
  </si>
  <si>
    <t xml:space="preserve">O00303</t>
  </si>
  <si>
    <t xml:space="preserve">13:37</t>
  </si>
  <si>
    <t xml:space="preserve">diya.iyer304@example.com</t>
  </si>
  <si>
    <t xml:space="preserve">64 Lake Road</t>
  </si>
  <si>
    <t xml:space="preserve">O00304</t>
  </si>
  <si>
    <t xml:space="preserve">18:39</t>
  </si>
  <si>
    <t xml:space="preserve">14:59</t>
  </si>
  <si>
    <t xml:space="preserve">ananya.reddy305@example.com</t>
  </si>
  <si>
    <t xml:space="preserve">O00305</t>
  </si>
  <si>
    <t xml:space="preserve">14:46</t>
  </si>
  <si>
    <t xml:space="preserve">C1090</t>
  </si>
  <si>
    <t xml:space="preserve">ishaan.gupta306@example.com</t>
  </si>
  <si>
    <t xml:space="preserve">O00306</t>
  </si>
  <si>
    <t xml:space="preserve">sanjana.rao307@example.com</t>
  </si>
  <si>
    <t xml:space="preserve">O00307</t>
  </si>
  <si>
    <t xml:space="preserve">21:23</t>
  </si>
  <si>
    <t xml:space="preserve">18:15</t>
  </si>
  <si>
    <t xml:space="preserve">rahul.patel308@example.com</t>
  </si>
  <si>
    <t xml:space="preserve">O00308</t>
  </si>
  <si>
    <t xml:space="preserve">09:06</t>
  </si>
  <si>
    <t xml:space="preserve">arjun.reddy309@example.com</t>
  </si>
  <si>
    <t xml:space="preserve">O00309</t>
  </si>
  <si>
    <t xml:space="preserve">17:44</t>
  </si>
  <si>
    <t xml:space="preserve">C1143</t>
  </si>
  <si>
    <t xml:space="preserve">ananya.mehta310@example.com</t>
  </si>
  <si>
    <t xml:space="preserve">96 MG Road</t>
  </si>
  <si>
    <t xml:space="preserve">O00310</t>
  </si>
  <si>
    <t xml:space="preserve">20:03</t>
  </si>
  <si>
    <t xml:space="preserve">C1137</t>
  </si>
  <si>
    <t xml:space="preserve">keerthi.gupta311@example.com</t>
  </si>
  <si>
    <t xml:space="preserve">50 Park Road</t>
  </si>
  <si>
    <t xml:space="preserve">O00311</t>
  </si>
  <si>
    <t xml:space="preserve">11:33</t>
  </si>
  <si>
    <t xml:space="preserve">19:15</t>
  </si>
  <si>
    <t xml:space="preserve">manoj.rao312@example.com</t>
  </si>
  <si>
    <t xml:space="preserve">O00312</t>
  </si>
  <si>
    <t xml:space="preserve">14:32</t>
  </si>
  <si>
    <t xml:space="preserve">14:42</t>
  </si>
  <si>
    <t xml:space="preserve">kavya.bhat313@example.com</t>
  </si>
  <si>
    <t xml:space="preserve">O00313</t>
  </si>
  <si>
    <t xml:space="preserve">11:24</t>
  </si>
  <si>
    <t xml:space="preserve">17:59</t>
  </si>
  <si>
    <t xml:space="preserve">vikram.mehta314@example.com</t>
  </si>
  <si>
    <t xml:space="preserve">39 Park Road</t>
  </si>
  <si>
    <t xml:space="preserve">O00314</t>
  </si>
  <si>
    <t xml:space="preserve">11:54</t>
  </si>
  <si>
    <t xml:space="preserve">C1208</t>
  </si>
  <si>
    <t xml:space="preserve">vikram.singh315@example.com</t>
  </si>
  <si>
    <t xml:space="preserve">O00315</t>
  </si>
  <si>
    <t xml:space="preserve">rohan.patel316@example.com</t>
  </si>
  <si>
    <t xml:space="preserve">O00316</t>
  </si>
  <si>
    <t xml:space="preserve">nisha.mishra317@example.com</t>
  </si>
  <si>
    <t xml:space="preserve">42 Station Road</t>
  </si>
  <si>
    <t xml:space="preserve">O00317</t>
  </si>
  <si>
    <t xml:space="preserve">19:14</t>
  </si>
  <si>
    <t xml:space="preserve">11:03</t>
  </si>
  <si>
    <t xml:space="preserve">aditya.bhat318@example.com</t>
  </si>
  <si>
    <t xml:space="preserve">O00318</t>
  </si>
  <si>
    <t xml:space="preserve">16:25</t>
  </si>
  <si>
    <t xml:space="preserve">13:05</t>
  </si>
  <si>
    <t xml:space="preserve">aditya.mishra319@example.com</t>
  </si>
  <si>
    <t xml:space="preserve">68 Park Road</t>
  </si>
  <si>
    <t xml:space="preserve">O00319</t>
  </si>
  <si>
    <t xml:space="preserve">13:49</t>
  </si>
  <si>
    <t xml:space="preserve">nisha.joshi320@example.com</t>
  </si>
  <si>
    <t xml:space="preserve">4 Main Road</t>
  </si>
  <si>
    <t xml:space="preserve">O00320</t>
  </si>
  <si>
    <t xml:space="preserve">10:22</t>
  </si>
  <si>
    <t xml:space="preserve">kiran.singh321@example.com</t>
  </si>
  <si>
    <t xml:space="preserve">80 Park Road</t>
  </si>
  <si>
    <t xml:space="preserve">O00321</t>
  </si>
  <si>
    <t xml:space="preserve">21:53</t>
  </si>
  <si>
    <t xml:space="preserve">13:00</t>
  </si>
  <si>
    <t xml:space="preserve">C1193</t>
  </si>
  <si>
    <t xml:space="preserve">rahul.kumar322@example.com</t>
  </si>
  <si>
    <t xml:space="preserve">O00322</t>
  </si>
  <si>
    <t xml:space="preserve">20:09</t>
  </si>
  <si>
    <t xml:space="preserve">aarav.iyer323@example.com</t>
  </si>
  <si>
    <t xml:space="preserve">2 Lake Road</t>
  </si>
  <si>
    <t xml:space="preserve">O00323</t>
  </si>
  <si>
    <t xml:space="preserve">priya.kumar324@example.com</t>
  </si>
  <si>
    <t xml:space="preserve">O00324</t>
  </si>
  <si>
    <t xml:space="preserve">aarav.reddy325@example.com</t>
  </si>
  <si>
    <t xml:space="preserve">O00325</t>
  </si>
  <si>
    <t xml:space="preserve">ananya.gupta326@example.com</t>
  </si>
  <si>
    <t xml:space="preserve">O00326</t>
  </si>
  <si>
    <t xml:space="preserve">nisha.nair327@example.com</t>
  </si>
  <si>
    <t xml:space="preserve">O00327</t>
  </si>
  <si>
    <t xml:space="preserve">21:08</t>
  </si>
  <si>
    <t xml:space="preserve">varun.singh328@example.com</t>
  </si>
  <si>
    <t xml:space="preserve">O00328</t>
  </si>
  <si>
    <t xml:space="preserve">14:26</t>
  </si>
  <si>
    <t xml:space="preserve">C1146</t>
  </si>
  <si>
    <t xml:space="preserve">vikram.singh329@example.com</t>
  </si>
  <si>
    <t xml:space="preserve">79 Park Road</t>
  </si>
  <si>
    <t xml:space="preserve">O00329</t>
  </si>
  <si>
    <t xml:space="preserve">17:14</t>
  </si>
  <si>
    <t xml:space="preserve">aarav.mehta330@example.com</t>
  </si>
  <si>
    <t xml:space="preserve">O00330</t>
  </si>
  <si>
    <t xml:space="preserve">11:14</t>
  </si>
  <si>
    <t xml:space="preserve">09:26</t>
  </si>
  <si>
    <t xml:space="preserve">aarav.gupta331@example.com</t>
  </si>
  <si>
    <t xml:space="preserve">59 Park Road</t>
  </si>
  <si>
    <t xml:space="preserve">O00331</t>
  </si>
  <si>
    <t xml:space="preserve">09:38</t>
  </si>
  <si>
    <t xml:space="preserve">aditya.joshi332@example.com</t>
  </si>
  <si>
    <t xml:space="preserve">O00332</t>
  </si>
  <si>
    <t xml:space="preserve">14:33</t>
  </si>
  <si>
    <t xml:space="preserve">19:03</t>
  </si>
  <si>
    <t xml:space="preserve">C1213</t>
  </si>
  <si>
    <t xml:space="preserve">rohan.das333@example.com</t>
  </si>
  <si>
    <t xml:space="preserve">83 MG Road</t>
  </si>
  <si>
    <t xml:space="preserve">O00333</t>
  </si>
  <si>
    <t xml:space="preserve">17:07</t>
  </si>
  <si>
    <t xml:space="preserve">C1065</t>
  </si>
  <si>
    <t xml:space="preserve">kavya.singh334@example.com</t>
  </si>
  <si>
    <t xml:space="preserve">42 Park Road</t>
  </si>
  <si>
    <t xml:space="preserve">O00334</t>
  </si>
  <si>
    <t xml:space="preserve">diya.bhat335@example.com</t>
  </si>
  <si>
    <t xml:space="preserve">49 Lake Road</t>
  </si>
  <si>
    <t xml:space="preserve">O00335</t>
  </si>
  <si>
    <t xml:space="preserve">14:36</t>
  </si>
  <si>
    <t xml:space="preserve">C1231</t>
  </si>
  <si>
    <t xml:space="preserve">ishaan.rao336@example.com</t>
  </si>
  <si>
    <t xml:space="preserve">O00336</t>
  </si>
  <si>
    <t xml:space="preserve">08:39</t>
  </si>
  <si>
    <t xml:space="preserve">kiran.chowdhury337@example.com</t>
  </si>
  <si>
    <t xml:space="preserve">77 Station Road</t>
  </si>
  <si>
    <t xml:space="preserve">O00337</t>
  </si>
  <si>
    <t xml:space="preserve">08:15</t>
  </si>
  <si>
    <t xml:space="preserve">17:17</t>
  </si>
  <si>
    <t xml:space="preserve">keerthi.verma338@example.com</t>
  </si>
  <si>
    <t xml:space="preserve">O00338</t>
  </si>
  <si>
    <t xml:space="preserve">C1210</t>
  </si>
  <si>
    <t xml:space="preserve">kavya.das339@example.com</t>
  </si>
  <si>
    <t xml:space="preserve">O00339</t>
  </si>
  <si>
    <t xml:space="preserve">pooja.singh340@example.com</t>
  </si>
  <si>
    <t xml:space="preserve">94 Station Road</t>
  </si>
  <si>
    <t xml:space="preserve">O00340</t>
  </si>
  <si>
    <t xml:space="preserve">09:30</t>
  </si>
  <si>
    <t xml:space="preserve">keerthi.das341@example.com</t>
  </si>
  <si>
    <t xml:space="preserve">O00341</t>
  </si>
  <si>
    <t xml:space="preserve">20:11</t>
  </si>
  <si>
    <t xml:space="preserve">meera.verma342@example.com</t>
  </si>
  <si>
    <t xml:space="preserve">O00342</t>
  </si>
  <si>
    <t xml:space="preserve">19:13</t>
  </si>
  <si>
    <t xml:space="preserve">aarav.verma343@example.com</t>
  </si>
  <si>
    <t xml:space="preserve">51 Station Road</t>
  </si>
  <si>
    <t xml:space="preserve">O00343</t>
  </si>
  <si>
    <t xml:space="preserve">11:12</t>
  </si>
  <si>
    <t xml:space="preserve">rahul.joshi344@example.com</t>
  </si>
  <si>
    <t xml:space="preserve">53 Lake Road</t>
  </si>
  <si>
    <t xml:space="preserve">O00344</t>
  </si>
  <si>
    <t xml:space="preserve">21:33</t>
  </si>
  <si>
    <t xml:space="preserve">13:36</t>
  </si>
  <si>
    <t xml:space="preserve">rahul.sharma345@example.com</t>
  </si>
  <si>
    <t xml:space="preserve">O00345</t>
  </si>
  <si>
    <t xml:space="preserve">rahul.reddy346@example.com</t>
  </si>
  <si>
    <t xml:space="preserve">48 Lake Road</t>
  </si>
  <si>
    <t xml:space="preserve">O00346</t>
  </si>
  <si>
    <t xml:space="preserve">20:12</t>
  </si>
  <si>
    <t xml:space="preserve">10:28</t>
  </si>
  <si>
    <t xml:space="preserve">varun.sharma347@example.com</t>
  </si>
  <si>
    <t xml:space="preserve">O00347</t>
  </si>
  <si>
    <t xml:space="preserve">18:08</t>
  </si>
  <si>
    <t xml:space="preserve">12:46</t>
  </si>
  <si>
    <t xml:space="preserve">C1228</t>
  </si>
  <si>
    <t xml:space="preserve">ananya.bhat348@example.com</t>
  </si>
  <si>
    <t xml:space="preserve">O00348</t>
  </si>
  <si>
    <t xml:space="preserve">16:49</t>
  </si>
  <si>
    <t xml:space="preserve">19:47</t>
  </si>
  <si>
    <t xml:space="preserve">C1172</t>
  </si>
  <si>
    <t xml:space="preserve">meera.sharma349@example.com</t>
  </si>
  <si>
    <t xml:space="preserve">O00349</t>
  </si>
  <si>
    <t xml:space="preserve">aarav.kumar350@example.com</t>
  </si>
  <si>
    <t xml:space="preserve">O00350</t>
  </si>
  <si>
    <t xml:space="preserve">13:34</t>
  </si>
  <si>
    <t xml:space="preserve">16:03</t>
  </si>
  <si>
    <t xml:space="preserve">ishaan.sharma351@example.com</t>
  </si>
  <si>
    <t xml:space="preserve">89 MG Road</t>
  </si>
  <si>
    <t xml:space="preserve">O00351</t>
  </si>
  <si>
    <t xml:space="preserve">13:21</t>
  </si>
  <si>
    <t xml:space="preserve">rohan.patel352@example.com</t>
  </si>
  <si>
    <t xml:space="preserve">O00352</t>
  </si>
  <si>
    <t xml:space="preserve">10:55</t>
  </si>
  <si>
    <t xml:space="preserve">priya.iyer353@example.com</t>
  </si>
  <si>
    <t xml:space="preserve">O00353</t>
  </si>
  <si>
    <t xml:space="preserve">20:22</t>
  </si>
  <si>
    <t xml:space="preserve">C1106</t>
  </si>
  <si>
    <t xml:space="preserve">ishaan.kumar354@example.com</t>
  </si>
  <si>
    <t xml:space="preserve">31 Station Road</t>
  </si>
  <si>
    <t xml:space="preserve">O00354</t>
  </si>
  <si>
    <t xml:space="preserve">aditya.patel355@example.com</t>
  </si>
  <si>
    <t xml:space="preserve">O00355</t>
  </si>
  <si>
    <t xml:space="preserve">C1154</t>
  </si>
  <si>
    <t xml:space="preserve">pooja.kumar356@example.com</t>
  </si>
  <si>
    <t xml:space="preserve">14 Station Road</t>
  </si>
  <si>
    <t xml:space="preserve">O00356</t>
  </si>
  <si>
    <t xml:space="preserve">20:52</t>
  </si>
  <si>
    <t xml:space="preserve">15:20</t>
  </si>
  <si>
    <t xml:space="preserve">C1075</t>
  </si>
  <si>
    <t xml:space="preserve">pooja.reddy357@example.com</t>
  </si>
  <si>
    <t xml:space="preserve">O00357</t>
  </si>
  <si>
    <t xml:space="preserve">17:28</t>
  </si>
  <si>
    <t xml:space="preserve">rahul.das358@example.com</t>
  </si>
  <si>
    <t xml:space="preserve">17 Main Road</t>
  </si>
  <si>
    <t xml:space="preserve">O00358</t>
  </si>
  <si>
    <t xml:space="preserve">08:23</t>
  </si>
  <si>
    <t xml:space="preserve">17:03</t>
  </si>
  <si>
    <t xml:space="preserve">aarav.mehta359@example.com</t>
  </si>
  <si>
    <t xml:space="preserve">O00359</t>
  </si>
  <si>
    <t xml:space="preserve">14:34</t>
  </si>
  <si>
    <t xml:space="preserve">kavya.chowdhury360@example.com</t>
  </si>
  <si>
    <t xml:space="preserve">O00360</t>
  </si>
  <si>
    <t xml:space="preserve">11:46</t>
  </si>
  <si>
    <t xml:space="preserve">C1131</t>
  </si>
  <si>
    <t xml:space="preserve">pooja.mishra361@example.com</t>
  </si>
  <si>
    <t xml:space="preserve">O00361</t>
  </si>
  <si>
    <t xml:space="preserve">21:28</t>
  </si>
  <si>
    <t xml:space="preserve">sneha.rao362@example.com</t>
  </si>
  <si>
    <t xml:space="preserve">5 Station Road</t>
  </si>
  <si>
    <t xml:space="preserve">O00362</t>
  </si>
  <si>
    <t xml:space="preserve">manoj.chowdhury363@example.com</t>
  </si>
  <si>
    <t xml:space="preserve">O00363</t>
  </si>
  <si>
    <t xml:space="preserve">18:40</t>
  </si>
  <si>
    <t xml:space="preserve">manoj.das364@example.com</t>
  </si>
  <si>
    <t xml:space="preserve">38 Main Road</t>
  </si>
  <si>
    <t xml:space="preserve">O00364</t>
  </si>
  <si>
    <t xml:space="preserve">10:02</t>
  </si>
  <si>
    <t xml:space="preserve">keerthi.das365@example.com</t>
  </si>
  <si>
    <t xml:space="preserve">95 Station Road</t>
  </si>
  <si>
    <t xml:space="preserve">O00365</t>
  </si>
  <si>
    <t xml:space="preserve">08:18</t>
  </si>
  <si>
    <t xml:space="preserve">16:05</t>
  </si>
  <si>
    <t xml:space="preserve">ishaan.patel366@example.com</t>
  </si>
  <si>
    <t xml:space="preserve">76 Park Road</t>
  </si>
  <si>
    <t xml:space="preserve">O00366</t>
  </si>
  <si>
    <t xml:space="preserve">kavya.gupta367@example.com</t>
  </si>
  <si>
    <t xml:space="preserve">O00367</t>
  </si>
  <si>
    <t xml:space="preserve">kiran.rao368@example.com</t>
  </si>
  <si>
    <t xml:space="preserve">61 Main Road</t>
  </si>
  <si>
    <t xml:space="preserve">O00368</t>
  </si>
  <si>
    <t xml:space="preserve">aditya.iyer369@example.com</t>
  </si>
  <si>
    <t xml:space="preserve">O00369</t>
  </si>
  <si>
    <t xml:space="preserve">14:54</t>
  </si>
  <si>
    <t xml:space="preserve">nisha.gupta370@example.com</t>
  </si>
  <si>
    <t xml:space="preserve">O00370</t>
  </si>
  <si>
    <t xml:space="preserve">16:21</t>
  </si>
  <si>
    <t xml:space="preserve">19:44</t>
  </si>
  <si>
    <t xml:space="preserve">kavya.joshi371@example.com</t>
  </si>
  <si>
    <t xml:space="preserve">O00371</t>
  </si>
  <si>
    <t xml:space="preserve">12:12</t>
  </si>
  <si>
    <t xml:space="preserve">09:01</t>
  </si>
  <si>
    <t xml:space="preserve">C1097</t>
  </si>
  <si>
    <t xml:space="preserve">keerthi.patel372@example.com</t>
  </si>
  <si>
    <t xml:space="preserve">O00372</t>
  </si>
  <si>
    <t xml:space="preserve">C1198</t>
  </si>
  <si>
    <t xml:space="preserve">kavya.gupta373@example.com</t>
  </si>
  <si>
    <t xml:space="preserve">99 Main Road</t>
  </si>
  <si>
    <t xml:space="preserve">O00373</t>
  </si>
  <si>
    <t xml:space="preserve">12:10</t>
  </si>
  <si>
    <t xml:space="preserve">10:17</t>
  </si>
  <si>
    <t xml:space="preserve">C1101</t>
  </si>
  <si>
    <t xml:space="preserve">ananya.iyer374@example.com</t>
  </si>
  <si>
    <t xml:space="preserve">23 MG Road</t>
  </si>
  <si>
    <t xml:space="preserve">O00374</t>
  </si>
  <si>
    <t xml:space="preserve">nisha.verma375@example.com</t>
  </si>
  <si>
    <t xml:space="preserve">O00375</t>
  </si>
  <si>
    <t xml:space="preserve">ananya.iyer376@example.com</t>
  </si>
  <si>
    <t xml:space="preserve">9 Station Road</t>
  </si>
  <si>
    <t xml:space="preserve">O00376</t>
  </si>
  <si>
    <t xml:space="preserve">11:00</t>
  </si>
  <si>
    <t xml:space="preserve">pooja.kumar377@example.com</t>
  </si>
  <si>
    <t xml:space="preserve">59 Main Road</t>
  </si>
  <si>
    <t xml:space="preserve">O00377</t>
  </si>
  <si>
    <t xml:space="preserve">ananya.iyer378@example.com</t>
  </si>
  <si>
    <t xml:space="preserve">O00378</t>
  </si>
  <si>
    <t xml:space="preserve">19:37</t>
  </si>
  <si>
    <t xml:space="preserve">12:31</t>
  </si>
  <si>
    <t xml:space="preserve">aditya.patel379@example.com</t>
  </si>
  <si>
    <t xml:space="preserve">93 Lake Road</t>
  </si>
  <si>
    <t xml:space="preserve">O00379</t>
  </si>
  <si>
    <t xml:space="preserve">varun.bhat380@example.com</t>
  </si>
  <si>
    <t xml:space="preserve">80 Lake Road</t>
  </si>
  <si>
    <t xml:space="preserve">O00380</t>
  </si>
  <si>
    <t xml:space="preserve">11:44</t>
  </si>
  <si>
    <t xml:space="preserve">aarav.rao381@example.com</t>
  </si>
  <si>
    <t xml:space="preserve">O00381</t>
  </si>
  <si>
    <t xml:space="preserve">C1017</t>
  </si>
  <si>
    <t xml:space="preserve">rahul.iyer382@example.com</t>
  </si>
  <si>
    <t xml:space="preserve">O00382</t>
  </si>
  <si>
    <t xml:space="preserve">priya.rao383@example.com</t>
  </si>
  <si>
    <t xml:space="preserve">O00383</t>
  </si>
  <si>
    <t xml:space="preserve">C1157</t>
  </si>
  <si>
    <t xml:space="preserve">arjun.das384@example.com</t>
  </si>
  <si>
    <t xml:space="preserve">O00384</t>
  </si>
  <si>
    <t xml:space="preserve">17:11</t>
  </si>
  <si>
    <t xml:space="preserve">C1130</t>
  </si>
  <si>
    <t xml:space="preserve">keerthi.patel385@example.com</t>
  </si>
  <si>
    <t xml:space="preserve">29 MG Road</t>
  </si>
  <si>
    <t xml:space="preserve">O00385</t>
  </si>
  <si>
    <t xml:space="preserve">20:40</t>
  </si>
  <si>
    <t xml:space="preserve">C1094</t>
  </si>
  <si>
    <t xml:space="preserve">vikram.reddy386@example.com</t>
  </si>
  <si>
    <t xml:space="preserve">O00386</t>
  </si>
  <si>
    <t xml:space="preserve">14:39</t>
  </si>
  <si>
    <t xml:space="preserve">kiran.reddy387@example.com</t>
  </si>
  <si>
    <t xml:space="preserve">57 Station Road</t>
  </si>
  <si>
    <t xml:space="preserve">O00387</t>
  </si>
  <si>
    <t xml:space="preserve">15:12</t>
  </si>
  <si>
    <t xml:space="preserve">rahul.nair388@example.com</t>
  </si>
  <si>
    <t xml:space="preserve">O00388</t>
  </si>
  <si>
    <t xml:space="preserve">15:09</t>
  </si>
  <si>
    <t xml:space="preserve">C1086</t>
  </si>
  <si>
    <t xml:space="preserve">rohan.bhat389@example.com</t>
  </si>
  <si>
    <t xml:space="preserve">O00389</t>
  </si>
  <si>
    <t xml:space="preserve">19:36</t>
  </si>
  <si>
    <t xml:space="preserve">09:17</t>
  </si>
  <si>
    <t xml:space="preserve">ishaan.kumar390@example.com</t>
  </si>
  <si>
    <t xml:space="preserve">O00390</t>
  </si>
  <si>
    <t xml:space="preserve">17:31</t>
  </si>
  <si>
    <t xml:space="preserve">C1149</t>
  </si>
  <si>
    <t xml:space="preserve">rohan.chowdhury391@example.com</t>
  </si>
  <si>
    <t xml:space="preserve">O00391</t>
  </si>
  <si>
    <t xml:space="preserve">10:58</t>
  </si>
  <si>
    <t xml:space="preserve">18:57</t>
  </si>
  <si>
    <t xml:space="preserve">aarav.mishra392@example.com</t>
  </si>
  <si>
    <t xml:space="preserve">31 Lake Road</t>
  </si>
  <si>
    <t xml:space="preserve">O00392</t>
  </si>
  <si>
    <t xml:space="preserve">16:48</t>
  </si>
  <si>
    <t xml:space="preserve">09:44</t>
  </si>
  <si>
    <t xml:space="preserve">C1192</t>
  </si>
  <si>
    <t xml:space="preserve">nisha.verma393@example.com</t>
  </si>
  <si>
    <t xml:space="preserve">O00393</t>
  </si>
  <si>
    <t xml:space="preserve">15:29</t>
  </si>
  <si>
    <t xml:space="preserve">11:55</t>
  </si>
  <si>
    <t xml:space="preserve">aditya.rao394@example.com</t>
  </si>
  <si>
    <t xml:space="preserve">97 Main Road</t>
  </si>
  <si>
    <t xml:space="preserve">O00394</t>
  </si>
  <si>
    <t xml:space="preserve">19:39</t>
  </si>
  <si>
    <t xml:space="preserve">17:36</t>
  </si>
  <si>
    <t xml:space="preserve">rohan.patel395@example.com</t>
  </si>
  <si>
    <t xml:space="preserve">O00395</t>
  </si>
  <si>
    <t xml:space="preserve">10:41</t>
  </si>
  <si>
    <t xml:space="preserve">17:45</t>
  </si>
  <si>
    <t xml:space="preserve">arjun.verma396@example.com</t>
  </si>
  <si>
    <t xml:space="preserve">29 Main Road</t>
  </si>
  <si>
    <t xml:space="preserve">O00396</t>
  </si>
  <si>
    <t xml:space="preserve">13:32</t>
  </si>
  <si>
    <t xml:space="preserve">nisha.gupta397@example.com</t>
  </si>
  <si>
    <t xml:space="preserve">69 Main Road</t>
  </si>
  <si>
    <t xml:space="preserve">O00397</t>
  </si>
  <si>
    <t xml:space="preserve">C1179</t>
  </si>
  <si>
    <t xml:space="preserve">arjun.verma398@example.com</t>
  </si>
  <si>
    <t xml:space="preserve">19 MG Road</t>
  </si>
  <si>
    <t xml:space="preserve">O00398</t>
  </si>
  <si>
    <t xml:space="preserve">12:33</t>
  </si>
  <si>
    <t xml:space="preserve">aarav.das399@example.com</t>
  </si>
  <si>
    <t xml:space="preserve">O00399</t>
  </si>
  <si>
    <t xml:space="preserve">18:21</t>
  </si>
  <si>
    <t xml:space="preserve">15:37</t>
  </si>
  <si>
    <t xml:space="preserve">rahul.joshi400@example.com</t>
  </si>
  <si>
    <t xml:space="preserve">O00400</t>
  </si>
  <si>
    <t xml:space="preserve">kavya.rao401@example.com</t>
  </si>
  <si>
    <t xml:space="preserve">O00401</t>
  </si>
  <si>
    <t xml:space="preserve">20:02</t>
  </si>
  <si>
    <t xml:space="preserve">rahul.mehta402@example.com</t>
  </si>
  <si>
    <t xml:space="preserve">O00402</t>
  </si>
  <si>
    <t xml:space="preserve">09:47</t>
  </si>
  <si>
    <t xml:space="preserve">sanjana.joshi403@example.com</t>
  </si>
  <si>
    <t xml:space="preserve">62 Lake Road</t>
  </si>
  <si>
    <t xml:space="preserve">O00403</t>
  </si>
  <si>
    <t xml:space="preserve">10:43</t>
  </si>
  <si>
    <t xml:space="preserve">meera.sharma404@example.com</t>
  </si>
  <si>
    <t xml:space="preserve">O00404</t>
  </si>
  <si>
    <t xml:space="preserve">11:01</t>
  </si>
  <si>
    <t xml:space="preserve">kiran.patel405@example.com</t>
  </si>
  <si>
    <t xml:space="preserve">O00405</t>
  </si>
  <si>
    <t xml:space="preserve">13:24</t>
  </si>
  <si>
    <t xml:space="preserve">14:00</t>
  </si>
  <si>
    <t xml:space="preserve">C1042</t>
  </si>
  <si>
    <t xml:space="preserve">meera.mehta406@example.com</t>
  </si>
  <si>
    <t xml:space="preserve">O00406</t>
  </si>
  <si>
    <t xml:space="preserve">19:57</t>
  </si>
  <si>
    <t xml:space="preserve">C1235</t>
  </si>
  <si>
    <t xml:space="preserve">manoj.patel407@example.com</t>
  </si>
  <si>
    <t xml:space="preserve">O00407</t>
  </si>
  <si>
    <t xml:space="preserve">10:35</t>
  </si>
  <si>
    <t xml:space="preserve">16:45</t>
  </si>
  <si>
    <t xml:space="preserve">manoj.singh408@example.com</t>
  </si>
  <si>
    <t xml:space="preserve">60 Park Road</t>
  </si>
  <si>
    <t xml:space="preserve">O00408</t>
  </si>
  <si>
    <t xml:space="preserve">vikram.das409@example.com</t>
  </si>
  <si>
    <t xml:space="preserve">36 MG Road</t>
  </si>
  <si>
    <t xml:space="preserve">O00409</t>
  </si>
  <si>
    <t xml:space="preserve">20:23</t>
  </si>
  <si>
    <t xml:space="preserve">manoj.chowdhury410@example.com</t>
  </si>
  <si>
    <t xml:space="preserve">34 Park Road</t>
  </si>
  <si>
    <t xml:space="preserve">O00410</t>
  </si>
  <si>
    <t xml:space="preserve">kiran.singh411@example.com</t>
  </si>
  <si>
    <t xml:space="preserve">10 Station Road</t>
  </si>
  <si>
    <t xml:space="preserve">O00411</t>
  </si>
  <si>
    <t xml:space="preserve">11:49</t>
  </si>
  <si>
    <t xml:space="preserve">19:11</t>
  </si>
  <si>
    <t xml:space="preserve">diya.rao412@example.com</t>
  </si>
  <si>
    <t xml:space="preserve">46 Park Road</t>
  </si>
  <si>
    <t xml:space="preserve">O00412</t>
  </si>
  <si>
    <t xml:space="preserve">08:08</t>
  </si>
  <si>
    <t xml:space="preserve">17:18</t>
  </si>
  <si>
    <t xml:space="preserve">priya.chowdhury413@example.com</t>
  </si>
  <si>
    <t xml:space="preserve">10 Lake Road</t>
  </si>
  <si>
    <t xml:space="preserve">O00413</t>
  </si>
  <si>
    <t xml:space="preserve">priya.das414@example.com</t>
  </si>
  <si>
    <t xml:space="preserve">O00414</t>
  </si>
  <si>
    <t xml:space="preserve">13:08</t>
  </si>
  <si>
    <t xml:space="preserve">rohan.singh415@example.com</t>
  </si>
  <si>
    <t xml:space="preserve">O00415</t>
  </si>
  <si>
    <t xml:space="preserve">16:07</t>
  </si>
  <si>
    <t xml:space="preserve">vikram.reddy416@example.com</t>
  </si>
  <si>
    <t xml:space="preserve">4 Lake Road</t>
  </si>
  <si>
    <t xml:space="preserve">O00416</t>
  </si>
  <si>
    <t xml:space="preserve">manoj.mehta417@example.com</t>
  </si>
  <si>
    <t xml:space="preserve">92 Park Road</t>
  </si>
  <si>
    <t xml:space="preserve">O00417</t>
  </si>
  <si>
    <t xml:space="preserve">diya.verma418@example.com</t>
  </si>
  <si>
    <t xml:space="preserve">O00418</t>
  </si>
  <si>
    <t xml:space="preserve">kiran.kumar419@example.com</t>
  </si>
  <si>
    <t xml:space="preserve">37 MG Road</t>
  </si>
  <si>
    <t xml:space="preserve">O00419</t>
  </si>
  <si>
    <t xml:space="preserve">kiran.nair420@example.com</t>
  </si>
  <si>
    <t xml:space="preserve">87 MG Road</t>
  </si>
  <si>
    <t xml:space="preserve">O00420</t>
  </si>
  <si>
    <t xml:space="preserve">C1051</t>
  </si>
  <si>
    <t xml:space="preserve">varun.patel421@example.com</t>
  </si>
  <si>
    <t xml:space="preserve">44 Park Road</t>
  </si>
  <si>
    <t xml:space="preserve">O00421</t>
  </si>
  <si>
    <t xml:space="preserve">17:54</t>
  </si>
  <si>
    <t xml:space="preserve">sneha.mishra422@example.com</t>
  </si>
  <si>
    <t xml:space="preserve">78 MG Road</t>
  </si>
  <si>
    <t xml:space="preserve">O00422</t>
  </si>
  <si>
    <t xml:space="preserve">kiran.kumar423@example.com</t>
  </si>
  <si>
    <t xml:space="preserve">O00423</t>
  </si>
  <si>
    <t xml:space="preserve">keerthi.joshi424@example.com</t>
  </si>
  <si>
    <t xml:space="preserve">O00424</t>
  </si>
  <si>
    <t xml:space="preserve">C1046</t>
  </si>
  <si>
    <t xml:space="preserve">rahul.sharma425@example.com</t>
  </si>
  <si>
    <t xml:space="preserve">72 Main Road</t>
  </si>
  <si>
    <t xml:space="preserve">O00425</t>
  </si>
  <si>
    <t xml:space="preserve">19:10</t>
  </si>
  <si>
    <t xml:space="preserve">16:27</t>
  </si>
  <si>
    <t xml:space="preserve">ishaan.das426@example.com</t>
  </si>
  <si>
    <t xml:space="preserve">21 Station Road</t>
  </si>
  <si>
    <t xml:space="preserve">O00426</t>
  </si>
  <si>
    <t xml:space="preserve">C1150</t>
  </si>
  <si>
    <t xml:space="preserve">manoj.iyer427@example.com</t>
  </si>
  <si>
    <t xml:space="preserve">O00427</t>
  </si>
  <si>
    <t xml:space="preserve">priya.mishra428@example.com</t>
  </si>
  <si>
    <t xml:space="preserve">O00428</t>
  </si>
  <si>
    <t xml:space="preserve">08:34</t>
  </si>
  <si>
    <t xml:space="preserve">14:02</t>
  </si>
  <si>
    <t xml:space="preserve">kiran.mishra429@example.com</t>
  </si>
  <si>
    <t xml:space="preserve">O00429</t>
  </si>
  <si>
    <t xml:space="preserve">rahul.chowdhury430@example.com</t>
  </si>
  <si>
    <t xml:space="preserve">O00430</t>
  </si>
  <si>
    <t xml:space="preserve">manoj.iyer431@example.com</t>
  </si>
  <si>
    <t xml:space="preserve">10 Main Road</t>
  </si>
  <si>
    <t xml:space="preserve">O00431</t>
  </si>
  <si>
    <t xml:space="preserve">13:27</t>
  </si>
  <si>
    <t xml:space="preserve">sanjana.joshi432@example.com</t>
  </si>
  <si>
    <t xml:space="preserve">28 MG Road</t>
  </si>
  <si>
    <t xml:space="preserve">O00432</t>
  </si>
  <si>
    <t xml:space="preserve">12:59</t>
  </si>
  <si>
    <t xml:space="preserve">keerthi.mishra433@example.com</t>
  </si>
  <si>
    <t xml:space="preserve">56 MG Road</t>
  </si>
  <si>
    <t xml:space="preserve">O00433</t>
  </si>
  <si>
    <t xml:space="preserve">13:55</t>
  </si>
  <si>
    <t xml:space="preserve">10:40</t>
  </si>
  <si>
    <t xml:space="preserve">C1205</t>
  </si>
  <si>
    <t xml:space="preserve">rohan.mishra434@example.com</t>
  </si>
  <si>
    <t xml:space="preserve">O00434</t>
  </si>
  <si>
    <t xml:space="preserve">15:35</t>
  </si>
  <si>
    <t xml:space="preserve">15:27</t>
  </si>
  <si>
    <t xml:space="preserve">ananya.verma435@example.com</t>
  </si>
  <si>
    <t xml:space="preserve">O00435</t>
  </si>
  <si>
    <t xml:space="preserve">arjun.joshi436@example.com</t>
  </si>
  <si>
    <t xml:space="preserve">74 Station Road</t>
  </si>
  <si>
    <t xml:space="preserve">O00436</t>
  </si>
  <si>
    <t xml:space="preserve">09:33</t>
  </si>
  <si>
    <t xml:space="preserve">manoj.gupta437@example.com</t>
  </si>
  <si>
    <t xml:space="preserve">96 Park Road</t>
  </si>
  <si>
    <t xml:space="preserve">O00437</t>
  </si>
  <si>
    <t xml:space="preserve">14:13</t>
  </si>
  <si>
    <t xml:space="preserve">kavya.verma438@example.com</t>
  </si>
  <si>
    <t xml:space="preserve">61 Park Road</t>
  </si>
  <si>
    <t xml:space="preserve">O00438</t>
  </si>
  <si>
    <t xml:space="preserve">12:56</t>
  </si>
  <si>
    <t xml:space="preserve">pooja.mehta439@example.com</t>
  </si>
  <si>
    <t xml:space="preserve">O00439</t>
  </si>
  <si>
    <t xml:space="preserve">20:43</t>
  </si>
  <si>
    <t xml:space="preserve">sneha.bhat440@example.com</t>
  </si>
  <si>
    <t xml:space="preserve">57 Main Road</t>
  </si>
  <si>
    <t xml:space="preserve">O00440</t>
  </si>
  <si>
    <t xml:space="preserve">20:49</t>
  </si>
  <si>
    <t xml:space="preserve">ananya.gupta441@example.com</t>
  </si>
  <si>
    <t xml:space="preserve">O00441</t>
  </si>
  <si>
    <t xml:space="preserve">C1079</t>
  </si>
  <si>
    <t xml:space="preserve">keerthi.joshi442@example.com</t>
  </si>
  <si>
    <t xml:space="preserve">41 Station Road</t>
  </si>
  <si>
    <t xml:space="preserve">O00442</t>
  </si>
  <si>
    <t xml:space="preserve">09:07</t>
  </si>
  <si>
    <t xml:space="preserve">11:15</t>
  </si>
  <si>
    <t xml:space="preserve">varun.singh443@example.com</t>
  </si>
  <si>
    <t xml:space="preserve">O00443</t>
  </si>
  <si>
    <t xml:space="preserve">aditya.iyer444@example.com</t>
  </si>
  <si>
    <t xml:space="preserve">O00444</t>
  </si>
  <si>
    <t xml:space="preserve">arjun.mehta445@example.com</t>
  </si>
  <si>
    <t xml:space="preserve">O00445</t>
  </si>
  <si>
    <t xml:space="preserve">C1047</t>
  </si>
  <si>
    <t xml:space="preserve">pooja.iyer446@example.com</t>
  </si>
  <si>
    <t xml:space="preserve">53 Park Road</t>
  </si>
  <si>
    <t xml:space="preserve">O00446</t>
  </si>
  <si>
    <t xml:space="preserve">keerthi.bhat447@example.com</t>
  </si>
  <si>
    <t xml:space="preserve">O00447</t>
  </si>
  <si>
    <t xml:space="preserve">19:27</t>
  </si>
  <si>
    <t xml:space="preserve">20:38</t>
  </si>
  <si>
    <t xml:space="preserve">vikram.patel448@example.com</t>
  </si>
  <si>
    <t xml:space="preserve">65 Station Road</t>
  </si>
  <si>
    <t xml:space="preserve">O00448</t>
  </si>
  <si>
    <t xml:space="preserve">15:42</t>
  </si>
  <si>
    <t xml:space="preserve">C1082</t>
  </si>
  <si>
    <t xml:space="preserve">priya.singh449@example.com</t>
  </si>
  <si>
    <t xml:space="preserve">O00449</t>
  </si>
  <si>
    <t xml:space="preserve">C1133</t>
  </si>
  <si>
    <t xml:space="preserve">rahul.reddy450@example.com</t>
  </si>
  <si>
    <t xml:space="preserve">O00450</t>
  </si>
  <si>
    <t xml:space="preserve">ishaan.bhat451@example.com</t>
  </si>
  <si>
    <t xml:space="preserve">O00451</t>
  </si>
  <si>
    <t xml:space="preserve">C1229</t>
  </si>
  <si>
    <t xml:space="preserve">pooja.bhat452@example.com</t>
  </si>
  <si>
    <t xml:space="preserve">O00452</t>
  </si>
  <si>
    <t xml:space="preserve">C1032</t>
  </si>
  <si>
    <t xml:space="preserve">manoj.rao453@example.com</t>
  </si>
  <si>
    <t xml:space="preserve">O00453</t>
  </si>
  <si>
    <t xml:space="preserve">10:53</t>
  </si>
  <si>
    <t xml:space="preserve">rahul.singh454@example.com</t>
  </si>
  <si>
    <t xml:space="preserve">O00454</t>
  </si>
  <si>
    <t xml:space="preserve">manoj.singh455@example.com</t>
  </si>
  <si>
    <t xml:space="preserve">O00455</t>
  </si>
  <si>
    <t xml:space="preserve">aarav.verma456@example.com</t>
  </si>
  <si>
    <t xml:space="preserve">88 Station Road</t>
  </si>
  <si>
    <t xml:space="preserve">O00456</t>
  </si>
  <si>
    <t xml:space="preserve">priya.verma457@example.com</t>
  </si>
  <si>
    <t xml:space="preserve">O00457</t>
  </si>
  <si>
    <t xml:space="preserve">09:02</t>
  </si>
  <si>
    <t xml:space="preserve">kiran.nair458@example.com</t>
  </si>
  <si>
    <t xml:space="preserve">O00458</t>
  </si>
  <si>
    <t xml:space="preserve">meera.reddy459@example.com</t>
  </si>
  <si>
    <t xml:space="preserve">33 Main Road</t>
  </si>
  <si>
    <t xml:space="preserve">O00459</t>
  </si>
  <si>
    <t xml:space="preserve">12:37</t>
  </si>
  <si>
    <t xml:space="preserve">varun.sharma460@example.com</t>
  </si>
  <si>
    <t xml:space="preserve">59 MG Road</t>
  </si>
  <si>
    <t xml:space="preserve">O00460</t>
  </si>
  <si>
    <t xml:space="preserve">kavya.verma461@example.com</t>
  </si>
  <si>
    <t xml:space="preserve">O00461</t>
  </si>
  <si>
    <t xml:space="preserve">15:55</t>
  </si>
  <si>
    <t xml:space="preserve">keerthi.chowdhury462@example.com</t>
  </si>
  <si>
    <t xml:space="preserve">O00462</t>
  </si>
  <si>
    <t xml:space="preserve">sneha.mishra463@example.com</t>
  </si>
  <si>
    <t xml:space="preserve">90 MG Road</t>
  </si>
  <si>
    <t xml:space="preserve">O00463</t>
  </si>
  <si>
    <t xml:space="preserve">15:30</t>
  </si>
  <si>
    <t xml:space="preserve">kiran.nair464@example.com</t>
  </si>
  <si>
    <t xml:space="preserve">O00464</t>
  </si>
  <si>
    <t xml:space="preserve">17:46</t>
  </si>
  <si>
    <t xml:space="preserve">ananya.chowdhury465@example.com</t>
  </si>
  <si>
    <t xml:space="preserve">O00465</t>
  </si>
  <si>
    <t xml:space="preserve">pooja.mehta466@example.com</t>
  </si>
  <si>
    <t xml:space="preserve">O00466</t>
  </si>
  <si>
    <t xml:space="preserve">kiran.singh467@example.com</t>
  </si>
  <si>
    <t xml:space="preserve">96 Lake Road</t>
  </si>
  <si>
    <t xml:space="preserve">O00467</t>
  </si>
  <si>
    <t xml:space="preserve">18:30</t>
  </si>
  <si>
    <t xml:space="preserve">11:11</t>
  </si>
  <si>
    <t xml:space="preserve">rohan.rao468@example.com</t>
  </si>
  <si>
    <t xml:space="preserve">O00468</t>
  </si>
  <si>
    <t xml:space="preserve">varun.reddy469@example.com</t>
  </si>
  <si>
    <t xml:space="preserve">46 Lake Road</t>
  </si>
  <si>
    <t xml:space="preserve">O00469</t>
  </si>
  <si>
    <t xml:space="preserve">20:56</t>
  </si>
  <si>
    <t xml:space="preserve">ishaan.kumar470@example.com</t>
  </si>
  <si>
    <t xml:space="preserve">O00470</t>
  </si>
  <si>
    <t xml:space="preserve">18:07</t>
  </si>
  <si>
    <t xml:space="preserve">priya.rao471@example.com</t>
  </si>
  <si>
    <t xml:space="preserve">54 Lake Road</t>
  </si>
  <si>
    <t xml:space="preserve">O00471</t>
  </si>
  <si>
    <t xml:space="preserve">meera.rao472@example.com</t>
  </si>
  <si>
    <t xml:space="preserve">55 MG Road</t>
  </si>
  <si>
    <t xml:space="preserve">O00472</t>
  </si>
  <si>
    <t xml:space="preserve">14:57</t>
  </si>
  <si>
    <t xml:space="preserve">16:54</t>
  </si>
  <si>
    <t xml:space="preserve">varun.mehta473@example.com</t>
  </si>
  <si>
    <t xml:space="preserve">O00473</t>
  </si>
  <si>
    <t xml:space="preserve">18:59</t>
  </si>
  <si>
    <t xml:space="preserve">manoj.reddy474@example.com</t>
  </si>
  <si>
    <t xml:space="preserve">O00474</t>
  </si>
  <si>
    <t xml:space="preserve">rohan.bhat475@example.com</t>
  </si>
  <si>
    <t xml:space="preserve">O00475</t>
  </si>
  <si>
    <t xml:space="preserve">varun.das476@example.com</t>
  </si>
  <si>
    <t xml:space="preserve">O00476</t>
  </si>
  <si>
    <t xml:space="preserve">09:53</t>
  </si>
  <si>
    <t xml:space="preserve">priya.gupta477@example.com</t>
  </si>
  <si>
    <t xml:space="preserve">96 Station Road</t>
  </si>
  <si>
    <t xml:space="preserve">O00477</t>
  </si>
  <si>
    <t xml:space="preserve">19:42</t>
  </si>
  <si>
    <t xml:space="preserve">sanjana.nair478@example.com</t>
  </si>
  <si>
    <t xml:space="preserve">O00478</t>
  </si>
  <si>
    <t xml:space="preserve">diya.singh479@example.com</t>
  </si>
  <si>
    <t xml:space="preserve">O00479</t>
  </si>
  <si>
    <t xml:space="preserve">aditya.gupta480@example.com</t>
  </si>
  <si>
    <t xml:space="preserve">O00480</t>
  </si>
  <si>
    <t xml:space="preserve">varun.kumar481@example.com</t>
  </si>
  <si>
    <t xml:space="preserve">O00481</t>
  </si>
  <si>
    <t xml:space="preserve">ishaan.kumar482@example.com</t>
  </si>
  <si>
    <t xml:space="preserve">O00482</t>
  </si>
  <si>
    <t xml:space="preserve">aarav.kumar483@example.com</t>
  </si>
  <si>
    <t xml:space="preserve">O00483</t>
  </si>
  <si>
    <t xml:space="preserve">21:46</t>
  </si>
  <si>
    <t xml:space="preserve">C1060</t>
  </si>
  <si>
    <t xml:space="preserve">ishaan.bhat484@example.com</t>
  </si>
  <si>
    <t xml:space="preserve">O00484</t>
  </si>
  <si>
    <t xml:space="preserve">kiran.gupta485@example.com</t>
  </si>
  <si>
    <t xml:space="preserve">O00485</t>
  </si>
  <si>
    <t xml:space="preserve">varun.verma486@example.com</t>
  </si>
  <si>
    <t xml:space="preserve">O00486</t>
  </si>
  <si>
    <t xml:space="preserve">C1066</t>
  </si>
  <si>
    <t xml:space="preserve">rahul.iyer487@example.com</t>
  </si>
  <si>
    <t xml:space="preserve">12 Lake Road</t>
  </si>
  <si>
    <t xml:space="preserve">O00487</t>
  </si>
  <si>
    <t xml:space="preserve">09:34</t>
  </si>
  <si>
    <t xml:space="preserve">11:18</t>
  </si>
  <si>
    <t xml:space="preserve">ishaan.rao488@example.com</t>
  </si>
  <si>
    <t xml:space="preserve">O00488</t>
  </si>
  <si>
    <t xml:space="preserve">nisha.joshi489@example.com</t>
  </si>
  <si>
    <t xml:space="preserve">65 MG Road</t>
  </si>
  <si>
    <t xml:space="preserve">O00489</t>
  </si>
  <si>
    <t xml:space="preserve">kiran.mishra490@example.com</t>
  </si>
  <si>
    <t xml:space="preserve">O00490</t>
  </si>
  <si>
    <t xml:space="preserve">ishaan.das491@example.com</t>
  </si>
  <si>
    <t xml:space="preserve">32 Station Road</t>
  </si>
  <si>
    <t xml:space="preserve">O00491</t>
  </si>
  <si>
    <t xml:space="preserve">14:58</t>
  </si>
  <si>
    <t xml:space="preserve">ananya.sharma492@example.com</t>
  </si>
  <si>
    <t xml:space="preserve">O00492</t>
  </si>
  <si>
    <t xml:space="preserve">C1072</t>
  </si>
  <si>
    <t xml:space="preserve">ananya.rao493@example.com</t>
  </si>
  <si>
    <t xml:space="preserve">O00493</t>
  </si>
  <si>
    <t xml:space="preserve">17:32</t>
  </si>
  <si>
    <t xml:space="preserve">rahul.gupta494@example.com</t>
  </si>
  <si>
    <t xml:space="preserve">O00494</t>
  </si>
  <si>
    <t xml:space="preserve">aarav.rao495@example.com</t>
  </si>
  <si>
    <t xml:space="preserve">86 MG Road</t>
  </si>
  <si>
    <t xml:space="preserve">O00495</t>
  </si>
  <si>
    <t xml:space="preserve">aditya.mehta496@example.com</t>
  </si>
  <si>
    <t xml:space="preserve">O00496</t>
  </si>
  <si>
    <t xml:space="preserve">11:05</t>
  </si>
  <si>
    <t xml:space="preserve">meera.nair497@example.com</t>
  </si>
  <si>
    <t xml:space="preserve">82 MG Road</t>
  </si>
  <si>
    <t xml:space="preserve">O00497</t>
  </si>
  <si>
    <t xml:space="preserve">C1220</t>
  </si>
  <si>
    <t xml:space="preserve">varun.chowdhury498@example.com</t>
  </si>
  <si>
    <t xml:space="preserve">O00498</t>
  </si>
  <si>
    <t xml:space="preserve">aarav.gupta499@example.com</t>
  </si>
  <si>
    <t xml:space="preserve">16 Station Road</t>
  </si>
  <si>
    <t xml:space="preserve">O00499</t>
  </si>
  <si>
    <t xml:space="preserve">15:31</t>
  </si>
  <si>
    <t xml:space="preserve">ananya.nair500@example.com</t>
  </si>
  <si>
    <t xml:space="preserve">O00500</t>
  </si>
  <si>
    <t xml:space="preserve">sneha.verma501@example.com</t>
  </si>
  <si>
    <t xml:space="preserve">O00501</t>
  </si>
  <si>
    <t xml:space="preserve">rahul.reddy502@example.com</t>
  </si>
  <si>
    <t xml:space="preserve">O00502</t>
  </si>
  <si>
    <t xml:space="preserve">14:20</t>
  </si>
  <si>
    <t xml:space="preserve">20:04</t>
  </si>
  <si>
    <t xml:space="preserve">ishaan.reddy503@example.com</t>
  </si>
  <si>
    <t xml:space="preserve">O00503</t>
  </si>
  <si>
    <t xml:space="preserve">15:14</t>
  </si>
  <si>
    <t xml:space="preserve">keerthi.sharma504@example.com</t>
  </si>
  <si>
    <t xml:space="preserve">O00504</t>
  </si>
  <si>
    <t xml:space="preserve">arjun.verma505@example.com</t>
  </si>
  <si>
    <t xml:space="preserve">O00505</t>
  </si>
  <si>
    <t xml:space="preserve">varun.mehta506@example.com</t>
  </si>
  <si>
    <t xml:space="preserve">O00506</t>
  </si>
  <si>
    <t xml:space="preserve">21:03</t>
  </si>
  <si>
    <t xml:space="preserve">C1219</t>
  </si>
  <si>
    <t xml:space="preserve">rohan.verma507@example.com</t>
  </si>
  <si>
    <t xml:space="preserve">75 Station Road</t>
  </si>
  <si>
    <t xml:space="preserve">O00507</t>
  </si>
  <si>
    <t xml:space="preserve">C1160</t>
  </si>
  <si>
    <t xml:space="preserve">rahul.rao508@example.com</t>
  </si>
  <si>
    <t xml:space="preserve">O00508</t>
  </si>
  <si>
    <t xml:space="preserve">aditya.verma509@example.com</t>
  </si>
  <si>
    <t xml:space="preserve">O00509</t>
  </si>
  <si>
    <t xml:space="preserve">rohan.verma510@example.com</t>
  </si>
  <si>
    <t xml:space="preserve">34 Lake Road</t>
  </si>
  <si>
    <t xml:space="preserve">O00510</t>
  </si>
  <si>
    <t xml:space="preserve">08:53</t>
  </si>
  <si>
    <t xml:space="preserve">aditya.kumar511@example.com</t>
  </si>
  <si>
    <t xml:space="preserve">O00511</t>
  </si>
  <si>
    <t xml:space="preserve">rohan.verma512@example.com</t>
  </si>
  <si>
    <t xml:space="preserve">O00512</t>
  </si>
  <si>
    <t xml:space="preserve">vikram.singh513@example.com</t>
  </si>
  <si>
    <t xml:space="preserve">97 Station Road</t>
  </si>
  <si>
    <t xml:space="preserve">O00513</t>
  </si>
  <si>
    <t xml:space="preserve">kavya.joshi514@example.com</t>
  </si>
  <si>
    <t xml:space="preserve">26 MG Road</t>
  </si>
  <si>
    <t xml:space="preserve">O00514</t>
  </si>
  <si>
    <t xml:space="preserve">15:13</t>
  </si>
  <si>
    <t xml:space="preserve">meera.mishra515@example.com</t>
  </si>
  <si>
    <t xml:space="preserve">O00515</t>
  </si>
  <si>
    <t xml:space="preserve">nisha.bhat516@example.com</t>
  </si>
  <si>
    <t xml:space="preserve">O00516</t>
  </si>
  <si>
    <t xml:space="preserve">varun.patel517@example.com</t>
  </si>
  <si>
    <t xml:space="preserve">O00517</t>
  </si>
  <si>
    <t xml:space="preserve">19:54</t>
  </si>
  <si>
    <t xml:space="preserve">vikram.verma518@example.com</t>
  </si>
  <si>
    <t xml:space="preserve">O00518</t>
  </si>
  <si>
    <t xml:space="preserve">varun.singh519@example.com</t>
  </si>
  <si>
    <t xml:space="preserve">O00519</t>
  </si>
  <si>
    <t xml:space="preserve">20:05</t>
  </si>
  <si>
    <t xml:space="preserve">rohan.mishra520@example.com</t>
  </si>
  <si>
    <t xml:space="preserve">O00520</t>
  </si>
  <si>
    <t xml:space="preserve">aditya.das521@example.com</t>
  </si>
  <si>
    <t xml:space="preserve">O00521</t>
  </si>
  <si>
    <t xml:space="preserve">21:25</t>
  </si>
  <si>
    <t xml:space="preserve">C1027</t>
  </si>
  <si>
    <t xml:space="preserve">aditya.patel522@example.com</t>
  </si>
  <si>
    <t xml:space="preserve">O00522</t>
  </si>
  <si>
    <t xml:space="preserve">C1015</t>
  </si>
  <si>
    <t xml:space="preserve">pooja.sharma523@example.com</t>
  </si>
  <si>
    <t xml:space="preserve">O00523</t>
  </si>
  <si>
    <t xml:space="preserve">nisha.iyer524@example.com</t>
  </si>
  <si>
    <t xml:space="preserve">27 Main Road</t>
  </si>
  <si>
    <t xml:space="preserve">O00524</t>
  </si>
  <si>
    <t xml:space="preserve">pooja.rao525@example.com</t>
  </si>
  <si>
    <t xml:space="preserve">O00525</t>
  </si>
  <si>
    <t xml:space="preserve">pooja.bhat526@example.com</t>
  </si>
  <si>
    <t xml:space="preserve">32 Park Road</t>
  </si>
  <si>
    <t xml:space="preserve">O00526</t>
  </si>
  <si>
    <t xml:space="preserve">aditya.rao527@example.com</t>
  </si>
  <si>
    <t xml:space="preserve">9 Park Road</t>
  </si>
  <si>
    <t xml:space="preserve">O00527</t>
  </si>
  <si>
    <t xml:space="preserve">15:26</t>
  </si>
  <si>
    <t xml:space="preserve">priya.patel528@example.com</t>
  </si>
  <si>
    <t xml:space="preserve">O00528</t>
  </si>
  <si>
    <t xml:space="preserve">rohan.iyer529@example.com</t>
  </si>
  <si>
    <t xml:space="preserve">85 Park Road</t>
  </si>
  <si>
    <t xml:space="preserve">O00529</t>
  </si>
  <si>
    <t xml:space="preserve">vikram.rao530@example.com</t>
  </si>
  <si>
    <t xml:space="preserve">O00530</t>
  </si>
  <si>
    <t xml:space="preserve">18:17</t>
  </si>
  <si>
    <t xml:space="preserve">C1184</t>
  </si>
  <si>
    <t xml:space="preserve">priya.rao531@example.com</t>
  </si>
  <si>
    <t xml:space="preserve">O00531</t>
  </si>
  <si>
    <t xml:space="preserve">ananya.sharma532@example.com</t>
  </si>
  <si>
    <t xml:space="preserve">O00532</t>
  </si>
  <si>
    <t xml:space="preserve">18:42</t>
  </si>
  <si>
    <t xml:space="preserve">10:14</t>
  </si>
  <si>
    <t xml:space="preserve">diya.rao533@example.com</t>
  </si>
  <si>
    <t xml:space="preserve">27 Station Road</t>
  </si>
  <si>
    <t xml:space="preserve">O00533</t>
  </si>
  <si>
    <t xml:space="preserve">rohan.kumar534@example.com</t>
  </si>
  <si>
    <t xml:space="preserve">85 Main Road</t>
  </si>
  <si>
    <t xml:space="preserve">O00534</t>
  </si>
  <si>
    <t xml:space="preserve">arjun.verma535@example.com</t>
  </si>
  <si>
    <t xml:space="preserve">77 Main Road</t>
  </si>
  <si>
    <t xml:space="preserve">O00535</t>
  </si>
  <si>
    <t xml:space="preserve">18:44</t>
  </si>
  <si>
    <t xml:space="preserve">ishaan.joshi536@example.com</t>
  </si>
  <si>
    <t xml:space="preserve">O00536</t>
  </si>
  <si>
    <t xml:space="preserve">aarav.kumar537@example.com</t>
  </si>
  <si>
    <t xml:space="preserve">27 Lake Road</t>
  </si>
  <si>
    <t xml:space="preserve">O00537</t>
  </si>
  <si>
    <t xml:space="preserve">kiran.joshi538@example.com</t>
  </si>
  <si>
    <t xml:space="preserve">94 Main Road</t>
  </si>
  <si>
    <t xml:space="preserve">O00538</t>
  </si>
  <si>
    <t xml:space="preserve">ananya.nair539@example.com</t>
  </si>
  <si>
    <t xml:space="preserve">82 Park Road</t>
  </si>
  <si>
    <t xml:space="preserve">O00539</t>
  </si>
  <si>
    <t xml:space="preserve">manoj.verma540@example.com</t>
  </si>
  <si>
    <t xml:space="preserve">O00540</t>
  </si>
  <si>
    <t xml:space="preserve">19:12</t>
  </si>
  <si>
    <t xml:space="preserve">vikram.chowdhury541@example.com</t>
  </si>
  <si>
    <t xml:space="preserve">20 MG Road</t>
  </si>
  <si>
    <t xml:space="preserve">O00541</t>
  </si>
  <si>
    <t xml:space="preserve">arjun.das542@example.com</t>
  </si>
  <si>
    <t xml:space="preserve">O00542</t>
  </si>
  <si>
    <t xml:space="preserve">11:45</t>
  </si>
  <si>
    <t xml:space="preserve">pooja.verma543@example.com</t>
  </si>
  <si>
    <t xml:space="preserve">O00543</t>
  </si>
  <si>
    <t xml:space="preserve">09:58</t>
  </si>
  <si>
    <t xml:space="preserve">diya.iyer544@example.com</t>
  </si>
  <si>
    <t xml:space="preserve">O00544</t>
  </si>
  <si>
    <t xml:space="preserve">nisha.nair545@example.com</t>
  </si>
  <si>
    <t xml:space="preserve">O00545</t>
  </si>
  <si>
    <t xml:space="preserve">kavya.sharma546@example.com</t>
  </si>
  <si>
    <t xml:space="preserve">O00546</t>
  </si>
  <si>
    <t xml:space="preserve">16:42</t>
  </si>
  <si>
    <t xml:space="preserve">meera.mishra547@example.com</t>
  </si>
  <si>
    <t xml:space="preserve">O00547</t>
  </si>
  <si>
    <t xml:space="preserve">nisha.mishra548@example.com</t>
  </si>
  <si>
    <t xml:space="preserve">15 MG Road</t>
  </si>
  <si>
    <t xml:space="preserve">O00548</t>
  </si>
  <si>
    <t xml:space="preserve">rohan.reddy549@example.com</t>
  </si>
  <si>
    <t xml:space="preserve">O00549</t>
  </si>
  <si>
    <t xml:space="preserve">10:21</t>
  </si>
  <si>
    <t xml:space="preserve">aarav.nair550@example.com</t>
  </si>
  <si>
    <t xml:space="preserve">28 Station Road</t>
  </si>
  <si>
    <t xml:space="preserve">O00550</t>
  </si>
  <si>
    <t xml:space="preserve">varun.gupta551@example.com</t>
  </si>
  <si>
    <t xml:space="preserve">O00551</t>
  </si>
  <si>
    <t xml:space="preserve">rahul.kumar552@example.com</t>
  </si>
  <si>
    <t xml:space="preserve">O00552</t>
  </si>
  <si>
    <t xml:space="preserve">pooja.mishra553@example.com</t>
  </si>
  <si>
    <t xml:space="preserve">O00553</t>
  </si>
  <si>
    <t xml:space="preserve">pooja.kumar554@example.com</t>
  </si>
  <si>
    <t xml:space="preserve">O00554</t>
  </si>
  <si>
    <t xml:space="preserve">21:43</t>
  </si>
  <si>
    <t xml:space="preserve">kiran.rao555@example.com</t>
  </si>
  <si>
    <t xml:space="preserve">92 Lake Road</t>
  </si>
  <si>
    <t xml:space="preserve">O00555</t>
  </si>
  <si>
    <t xml:space="preserve">10:59</t>
  </si>
  <si>
    <t xml:space="preserve">C1204</t>
  </si>
  <si>
    <t xml:space="preserve">aditya.gupta556@example.com</t>
  </si>
  <si>
    <t xml:space="preserve">O00556</t>
  </si>
  <si>
    <t xml:space="preserve">21:14</t>
  </si>
  <si>
    <t xml:space="preserve">18:49</t>
  </si>
  <si>
    <t xml:space="preserve">keerthi.patel557@example.com</t>
  </si>
  <si>
    <t xml:space="preserve">O00557</t>
  </si>
  <si>
    <t xml:space="preserve">12:47</t>
  </si>
  <si>
    <t xml:space="preserve">diya.mehta558@example.com</t>
  </si>
  <si>
    <t xml:space="preserve">O00558</t>
  </si>
  <si>
    <t xml:space="preserve">keerthi.nair559@example.com</t>
  </si>
  <si>
    <t xml:space="preserve">O00559</t>
  </si>
  <si>
    <t xml:space="preserve">10:47</t>
  </si>
  <si>
    <t xml:space="preserve">ananya.joshi560@example.com</t>
  </si>
  <si>
    <t xml:space="preserve">43 Park Road</t>
  </si>
  <si>
    <t xml:space="preserve">O00560</t>
  </si>
  <si>
    <t xml:space="preserve">21:45</t>
  </si>
  <si>
    <t xml:space="preserve">sneha.reddy561@example.com</t>
  </si>
  <si>
    <t xml:space="preserve">O00561</t>
  </si>
  <si>
    <t xml:space="preserve">14:04</t>
  </si>
  <si>
    <t xml:space="preserve">meera.das562@example.com</t>
  </si>
  <si>
    <t xml:space="preserve">84 Park Road</t>
  </si>
  <si>
    <t xml:space="preserve">O00562</t>
  </si>
  <si>
    <t xml:space="preserve">16:44</t>
  </si>
  <si>
    <t xml:space="preserve">pooja.das563@example.com</t>
  </si>
  <si>
    <t xml:space="preserve">O00563</t>
  </si>
  <si>
    <t xml:space="preserve">kavya.reddy564@example.com</t>
  </si>
  <si>
    <t xml:space="preserve">O00564</t>
  </si>
  <si>
    <t xml:space="preserve">11:02</t>
  </si>
  <si>
    <t xml:space="preserve">aditya.chowdhury565@example.com</t>
  </si>
  <si>
    <t xml:space="preserve">O00565</t>
  </si>
  <si>
    <t xml:space="preserve">08:07</t>
  </si>
  <si>
    <t xml:space="preserve">diya.chowdhury566@example.com</t>
  </si>
  <si>
    <t xml:space="preserve">O00566</t>
  </si>
  <si>
    <t xml:space="preserve">rahul.patel567@example.com</t>
  </si>
  <si>
    <t xml:space="preserve">O00567</t>
  </si>
  <si>
    <t xml:space="preserve">rohan.kumar568@example.com</t>
  </si>
  <si>
    <t xml:space="preserve">O00568</t>
  </si>
  <si>
    <t xml:space="preserve">ananya.patel569@example.com</t>
  </si>
  <si>
    <t xml:space="preserve">O00569</t>
  </si>
  <si>
    <t xml:space="preserve">18:34</t>
  </si>
  <si>
    <t xml:space="preserve">16:08</t>
  </si>
  <si>
    <t xml:space="preserve">manoj.chowdhury570@example.com</t>
  </si>
  <si>
    <t xml:space="preserve">19 Main Road</t>
  </si>
  <si>
    <t xml:space="preserve">O00570</t>
  </si>
  <si>
    <t xml:space="preserve">12:08</t>
  </si>
  <si>
    <t xml:space="preserve">keerthi.verma571@example.com</t>
  </si>
  <si>
    <t xml:space="preserve">59 Lake Road</t>
  </si>
  <si>
    <t xml:space="preserve">O00571</t>
  </si>
  <si>
    <t xml:space="preserve">ishaan.verma572@example.com</t>
  </si>
  <si>
    <t xml:space="preserve">O00572</t>
  </si>
  <si>
    <t xml:space="preserve">20:27</t>
  </si>
  <si>
    <t xml:space="preserve">C1023</t>
  </si>
  <si>
    <t xml:space="preserve">keerthi.nair573@example.com</t>
  </si>
  <si>
    <t xml:space="preserve">O00573</t>
  </si>
  <si>
    <t xml:space="preserve">sneha.gupta574@example.com</t>
  </si>
  <si>
    <t xml:space="preserve">O00574</t>
  </si>
  <si>
    <t xml:space="preserve">meera.gupta575@example.com</t>
  </si>
  <si>
    <t xml:space="preserve">69 Station Road</t>
  </si>
  <si>
    <t xml:space="preserve">O00575</t>
  </si>
  <si>
    <t xml:space="preserve">17:56</t>
  </si>
  <si>
    <t xml:space="preserve">manoj.singh576@example.com</t>
  </si>
  <si>
    <t xml:space="preserve">O00576</t>
  </si>
  <si>
    <t xml:space="preserve">keerthi.mishra577@example.com</t>
  </si>
  <si>
    <t xml:space="preserve">O00577</t>
  </si>
  <si>
    <t xml:space="preserve">nisha.joshi578@example.com</t>
  </si>
  <si>
    <t xml:space="preserve">O00578</t>
  </si>
  <si>
    <t xml:space="preserve">14:43</t>
  </si>
  <si>
    <t xml:space="preserve">ishaan.chowdhury579@example.com</t>
  </si>
  <si>
    <t xml:space="preserve">O00579</t>
  </si>
  <si>
    <t xml:space="preserve">17:43</t>
  </si>
  <si>
    <t xml:space="preserve">keerthi.reddy580@example.com</t>
  </si>
  <si>
    <t xml:space="preserve">O00580</t>
  </si>
  <si>
    <t xml:space="preserve">10:23</t>
  </si>
  <si>
    <t xml:space="preserve">sneha.kumar581@example.com</t>
  </si>
  <si>
    <t xml:space="preserve">O00581</t>
  </si>
  <si>
    <t xml:space="preserve">21:57</t>
  </si>
  <si>
    <t xml:space="preserve">kiran.chowdhury582@example.com</t>
  </si>
  <si>
    <t xml:space="preserve">O00582</t>
  </si>
  <si>
    <t xml:space="preserve">rohan.patel583@example.com</t>
  </si>
  <si>
    <t xml:space="preserve">O00583</t>
  </si>
  <si>
    <t xml:space="preserve">vikram.kumar584@example.com</t>
  </si>
  <si>
    <t xml:space="preserve">25 Main Road</t>
  </si>
  <si>
    <t xml:space="preserve">O00584</t>
  </si>
  <si>
    <t xml:space="preserve">rahul.reddy585@example.com</t>
  </si>
  <si>
    <t xml:space="preserve">O00585</t>
  </si>
  <si>
    <t xml:space="preserve">aditya.singh586@example.com</t>
  </si>
  <si>
    <t xml:space="preserve">O00586</t>
  </si>
  <si>
    <t xml:space="preserve">09:27</t>
  </si>
  <si>
    <t xml:space="preserve">pooja.das587@example.com</t>
  </si>
  <si>
    <t xml:space="preserve">O00587</t>
  </si>
  <si>
    <t xml:space="preserve">pooja.kumar588@example.com</t>
  </si>
  <si>
    <t xml:space="preserve">O00588</t>
  </si>
  <si>
    <t xml:space="preserve">nisha.das589@example.com</t>
  </si>
  <si>
    <t xml:space="preserve">36 Main Road</t>
  </si>
  <si>
    <t xml:space="preserve">O00589</t>
  </si>
  <si>
    <t xml:space="preserve">12:20</t>
  </si>
  <si>
    <t xml:space="preserve">ananya.rao590@example.com</t>
  </si>
  <si>
    <t xml:space="preserve">O00590</t>
  </si>
  <si>
    <t xml:space="preserve">diya.sharma591@example.com</t>
  </si>
  <si>
    <t xml:space="preserve">O00591</t>
  </si>
  <si>
    <t xml:space="preserve">diya.singh592@example.com</t>
  </si>
  <si>
    <t xml:space="preserve">44 Main Road</t>
  </si>
  <si>
    <t xml:space="preserve">O00592</t>
  </si>
  <si>
    <t xml:space="preserve">19:30</t>
  </si>
  <si>
    <t xml:space="preserve">ishaan.reddy593@example.com</t>
  </si>
  <si>
    <t xml:space="preserve">16 MG Road</t>
  </si>
  <si>
    <t xml:space="preserve">O00593</t>
  </si>
  <si>
    <t xml:space="preserve">varun.sharma594@example.com</t>
  </si>
  <si>
    <t xml:space="preserve">O00594</t>
  </si>
  <si>
    <t xml:space="preserve">21:32</t>
  </si>
  <si>
    <t xml:space="preserve">kiran.iyer595@example.com</t>
  </si>
  <si>
    <t xml:space="preserve">2 Station Road</t>
  </si>
  <si>
    <t xml:space="preserve">O00595</t>
  </si>
  <si>
    <t xml:space="preserve">varun.gupta596@example.com</t>
  </si>
  <si>
    <t xml:space="preserve">O00596</t>
  </si>
  <si>
    <t xml:space="preserve">ananya.nair597@example.com</t>
  </si>
  <si>
    <t xml:space="preserve">O00597</t>
  </si>
  <si>
    <t xml:space="preserve">rahul.reddy598@example.com</t>
  </si>
  <si>
    <t xml:space="preserve">93 MG Road</t>
  </si>
  <si>
    <t xml:space="preserve">O00598</t>
  </si>
  <si>
    <t xml:space="preserve">19:40</t>
  </si>
  <si>
    <t xml:space="preserve">keerthi.verma599@example.com</t>
  </si>
  <si>
    <t xml:space="preserve">56 Main Road</t>
  </si>
  <si>
    <t xml:space="preserve">O00599</t>
  </si>
  <si>
    <t xml:space="preserve">10:57</t>
  </si>
  <si>
    <t xml:space="preserve">pooja.rao600@example.com</t>
  </si>
  <si>
    <t xml:space="preserve">O00600</t>
  </si>
  <si>
    <t xml:space="preserve">12:04</t>
  </si>
  <si>
    <t xml:space="preserve">Wireless Earbuds</t>
  </si>
  <si>
    <t xml:space="preserve">Smart Watch</t>
  </si>
  <si>
    <t xml:space="preserve">Bluetooth Speaker</t>
  </si>
  <si>
    <t xml:space="preserve">Power Bank</t>
  </si>
  <si>
    <t xml:space="preserve">USB-C Hub</t>
  </si>
  <si>
    <t xml:space="preserve">Mechanical Keyboard</t>
  </si>
  <si>
    <t xml:space="preserve">Gaming Mouse</t>
  </si>
  <si>
    <t xml:space="preserve">Webcam</t>
  </si>
  <si>
    <t xml:space="preserve">Portable SSD</t>
  </si>
  <si>
    <t xml:space="preserve">Headphones</t>
  </si>
  <si>
    <t xml:space="preserve">Tablet Stand</t>
  </si>
  <si>
    <t xml:space="preserve">Laptop Sleeve</t>
  </si>
  <si>
    <t xml:space="preserve">ELECTRONICS SALES &amp; DELIVERY ANALYTICS</t>
  </si>
  <si>
    <t xml:space="preserve">Total Unique Customers</t>
  </si>
  <si>
    <t xml:space="preserve">Highest Order Amount</t>
  </si>
  <si>
    <t xml:space="preserve">Average Customer Age</t>
  </si>
  <si>
    <t xml:space="preserve">Total Orders Placed</t>
  </si>
  <si>
    <t xml:space="preserve">Average Days to Deliver</t>
  </si>
  <si>
    <t xml:space="preserve">Orders with 0 Delivery Charge</t>
  </si>
  <si>
    <t xml:space="preserve">Total Unique Products</t>
  </si>
  <si>
    <t xml:space="preserve">Most Ordered Product</t>
  </si>
  <si>
    <t xml:space="preserve">Highest Product Sales</t>
  </si>
  <si>
    <t xml:space="preserve">Total Amount</t>
  </si>
  <si>
    <t xml:space="preserve">Total Discount</t>
  </si>
  <si>
    <t xml:space="preserve">Amount after Discount</t>
  </si>
  <si>
    <t xml:space="preserve">Amount after Discount + Delivery</t>
  </si>
  <si>
    <t xml:space="preserve">Customer</t>
  </si>
  <si>
    <t xml:space="preserve">Total Sales</t>
  </si>
  <si>
    <t xml:space="preserve">Keerthi Das</t>
  </si>
  <si>
    <t xml:space="preserve">Ananya Patel</t>
  </si>
  <si>
    <t xml:space="preserve">Pooja Mishra</t>
  </si>
  <si>
    <t xml:space="preserve">Pooja Kumar</t>
  </si>
  <si>
    <t xml:space="preserve">Ananya Nair</t>
  </si>
  <si>
    <t xml:space="preserve">Aditya Patel</t>
  </si>
  <si>
    <t xml:space="preserve">Ishaan Reddy</t>
  </si>
  <si>
    <t xml:space="preserve">Aarav Mehta</t>
  </si>
  <si>
    <t xml:space="preserve">Varun Sharma</t>
  </si>
  <si>
    <t xml:space="preserve">Rahul Iyer</t>
  </si>
  <si>
    <t xml:space="preserve">Product</t>
  </si>
  <si>
    <t xml:space="preserve">Order Quantity</t>
  </si>
  <si>
    <t xml:space="preserve">Percentage</t>
  </si>
  <si>
    <t xml:space="preserve">Total Orders</t>
  </si>
  <si>
    <t xml:space="preserve">Coupon</t>
  </si>
  <si>
    <t xml:space="preserve">Count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</si>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</sst>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\₹#,##0.00"/>
    <numFmt numFmtId="167" formatCode="0%"/>
    <numFmt numFmtId="168" formatCode="0.0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5B9BD5"/>
        <bgColor rgb="FF4BACC6"/>
      </patternFill>
    </fill>
    <fill>
      <patternFill patternType="solid">
        <fgColor rgb="FF1F4E78"/>
        <bgColor rgb="FF17365D"/>
      </patternFill>
    </fill>
    <fill>
      <patternFill patternType="solid">
        <fgColor rgb="FFD9EAF7"/>
        <bgColor rgb="FFEAF3F8"/>
      </patternFill>
    </fill>
    <fill>
      <patternFill patternType="solid">
        <fgColor rgb="FFEAF3F8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4A2"/>
      <rgbColor rgb="FF800080"/>
      <rgbColor rgb="FF4F81BD"/>
      <rgbColor rgb="FFC0C0C0"/>
      <rgbColor rgb="FF878787"/>
      <rgbColor rgb="FF93A9CE"/>
      <rgbColor rgb="FFAB4744"/>
      <rgbColor rgb="FFFFFFCC"/>
      <rgbColor rgb="FFD9EAF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CFFCC"/>
      <rgbColor rgb="FFFFFF99"/>
      <rgbColor rgb="FF5B9BD5"/>
      <rgbColor rgb="FFFF99CC"/>
      <rgbColor rgb="FFCC99FF"/>
      <rgbColor rgb="FFFFCC99"/>
      <rgbColor rgb="FF4672A8"/>
      <rgbColor rgb="FF4BACC6"/>
      <rgbColor rgb="FF9BBB59"/>
      <rgbColor rgb="FFFFCC00"/>
      <rgbColor rgb="FFF79646"/>
      <rgbColor rgb="FFFF6600"/>
      <rgbColor rgb="FF725990"/>
      <rgbColor rgb="FF8AA64F"/>
      <rgbColor rgb="FF17365D"/>
      <rgbColor rgb="FF4299B0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Top 10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Top_Customers!B1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Top_Customers!$A$2:$A$11</c:f>
              <c:strCache>
                <c:ptCount val="10"/>
                <c:pt idx="0">
                  <c:v>Keerthi Das</c:v>
                </c:pt>
                <c:pt idx="1">
                  <c:v>Ananya Patel</c:v>
                </c:pt>
                <c:pt idx="2">
                  <c:v>Pooja Mishra</c:v>
                </c:pt>
                <c:pt idx="3">
                  <c:v>Pooja Kumar</c:v>
                </c:pt>
                <c:pt idx="4">
                  <c:v>Ananya Nair</c:v>
                </c:pt>
                <c:pt idx="5">
                  <c:v>Aditya Patel</c:v>
                </c:pt>
                <c:pt idx="6">
                  <c:v>Ishaan Reddy</c:v>
                </c:pt>
                <c:pt idx="7">
                  <c:v>Aarav Mehta</c:v>
                </c:pt>
                <c:pt idx="8">
                  <c:v>Varun Sharma</c:v>
                </c:pt>
                <c:pt idx="9">
                  <c:v>Rahul Iyer</c:v>
                </c:pt>
              </c:strCache>
            </c:strRef>
          </c:cat>
          <c:val>
            <c:numRef>
              <c:f>Top_Customers!$B$2:$B$11</c:f>
              <c:numCache>
                <c:formatCode>\₹#,##0.00</c:formatCode>
                <c:ptCount val="10"/>
                <c:pt idx="0">
                  <c:v>51415</c:v>
                </c:pt>
                <c:pt idx="1">
                  <c:v>47791.3</c:v>
                </c:pt>
                <c:pt idx="2">
                  <c:v>38280.15</c:v>
                </c:pt>
                <c:pt idx="3">
                  <c:v>37976.95</c:v>
                </c:pt>
                <c:pt idx="4">
                  <c:v>37206.5</c:v>
                </c:pt>
                <c:pt idx="5">
                  <c:v>34902.65</c:v>
                </c:pt>
                <c:pt idx="6">
                  <c:v>34529.3</c:v>
                </c:pt>
                <c:pt idx="7">
                  <c:v>30334.15</c:v>
                </c:pt>
                <c:pt idx="8">
                  <c:v>27472.2</c:v>
                </c:pt>
                <c:pt idx="9">
                  <c:v>26394.75</c:v>
                </c:pt>
              </c:numCache>
            </c:numRef>
          </c:val>
        </c:ser>
        <c:gapWidth val="150"/>
        <c:overlap val="0"/>
        <c:axId val="66743464"/>
        <c:axId val="19660152"/>
      </c:barChart>
      <c:catAx>
        <c:axId val="6674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660152"/>
        <c:crosses val="autoZero"/>
        <c:auto val="1"/>
        <c:lblAlgn val="ctr"/>
        <c:lblOffset val="100"/>
        <c:noMultiLvlLbl val="0"/>
      </c:catAx>
      <c:valAx>
        <c:axId val="19660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743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Top 7 Products by Order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Top_Products!B1</c:f>
              <c:strCache>
                <c:ptCount val="1"/>
                <c:pt idx="0">
                  <c:v>Order Quantity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Top_Products!$A$2:$A$8</c:f>
              <c:strCache>
                <c:ptCount val="7"/>
                <c:pt idx="0">
                  <c:v>Tablet Stand</c:v>
                </c:pt>
                <c:pt idx="1">
                  <c:v>Laptop Sleeve</c:v>
                </c:pt>
                <c:pt idx="2">
                  <c:v>Gaming Mouse</c:v>
                </c:pt>
                <c:pt idx="3">
                  <c:v>Wireless Earbuds</c:v>
                </c:pt>
                <c:pt idx="4">
                  <c:v>Portable SSD</c:v>
                </c:pt>
                <c:pt idx="5">
                  <c:v>USB-C Hub</c:v>
                </c:pt>
                <c:pt idx="6">
                  <c:v>Mechanical Keyboard</c:v>
                </c:pt>
              </c:strCache>
            </c:strRef>
          </c:cat>
          <c:val>
            <c:numRef>
              <c:f>Top_Products!$B$2:$B$8</c:f>
              <c:numCache>
                <c:formatCode>General</c:formatCode>
                <c:ptCount val="7"/>
                <c:pt idx="0">
                  <c:v>171</c:v>
                </c:pt>
                <c:pt idx="1">
                  <c:v>156</c:v>
                </c:pt>
                <c:pt idx="2">
                  <c:v>142</c:v>
                </c:pt>
                <c:pt idx="3">
                  <c:v>127</c:v>
                </c:pt>
                <c:pt idx="4">
                  <c:v>125</c:v>
                </c:pt>
                <c:pt idx="5">
                  <c:v>123</c:v>
                </c:pt>
                <c:pt idx="6">
                  <c:v>118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City-wise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City_Analysis!C1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City_Analysis!$A$2:$A$11</c:f>
              <c:strCache>
                <c:ptCount val="10"/>
                <c:pt idx="0">
                  <c:v>Hyderabad</c:v>
                </c:pt>
                <c:pt idx="1">
                  <c:v>Bengaluru</c:v>
                </c:pt>
                <c:pt idx="2">
                  <c:v>Chennai</c:v>
                </c:pt>
                <c:pt idx="3">
                  <c:v>Mumbai</c:v>
                </c:pt>
                <c:pt idx="4">
                  <c:v>Pune</c:v>
                </c:pt>
                <c:pt idx="5">
                  <c:v>Delhi</c:v>
                </c:pt>
                <c:pt idx="6">
                  <c:v>Kolkata</c:v>
                </c:pt>
                <c:pt idx="7">
                  <c:v>Ahmedabad</c:v>
                </c:pt>
                <c:pt idx="8">
                  <c:v>Jaipur</c:v>
                </c:pt>
                <c:pt idx="9">
                  <c:v>Kochi</c:v>
                </c:pt>
              </c:strCache>
            </c:strRef>
          </c:cat>
          <c:val>
            <c:numRef>
              <c:f>City_Analysis!$C$2:$C$11</c:f>
              <c:numCache>
                <c:formatCode>\₹#,##0.00</c:formatCode>
                <c:ptCount val="10"/>
                <c:pt idx="0">
                  <c:v>336371.7</c:v>
                </c:pt>
                <c:pt idx="1">
                  <c:v>232043.2</c:v>
                </c:pt>
                <c:pt idx="2">
                  <c:v>291767.05</c:v>
                </c:pt>
                <c:pt idx="3">
                  <c:v>332769.25</c:v>
                </c:pt>
                <c:pt idx="4">
                  <c:v>261747.7</c:v>
                </c:pt>
                <c:pt idx="5">
                  <c:v>382306.55</c:v>
                </c:pt>
                <c:pt idx="6">
                  <c:v>414705.35</c:v>
                </c:pt>
                <c:pt idx="7">
                  <c:v>312744.1</c:v>
                </c:pt>
                <c:pt idx="8">
                  <c:v>278902.45</c:v>
                </c:pt>
                <c:pt idx="9">
                  <c:v>206327.3</c:v>
                </c:pt>
              </c:numCache>
            </c:numRef>
          </c:val>
        </c:ser>
        <c:gapWidth val="150"/>
        <c:overlap val="0"/>
        <c:axId val="92047817"/>
        <c:axId val="59805694"/>
      </c:barChart>
      <c:catAx>
        <c:axId val="920478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805694"/>
        <c:crosses val="autoZero"/>
        <c:auto val="1"/>
        <c:lblAlgn val="ctr"/>
        <c:lblOffset val="100"/>
        <c:noMultiLvlLbl val="0"/>
      </c:catAx>
      <c:valAx>
        <c:axId val="598056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47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Discount Coupon Usage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Coupon_Analysis!B1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Coupon_Analysis!$A$2:$A$7</c:f>
              <c:strCache>
                <c:ptCount val="6"/>
                <c:pt idx="0">
                  <c:v>FLAT5</c:v>
                </c:pt>
                <c:pt idx="1">
                  <c:v>FLAT10</c:v>
                </c:pt>
                <c:pt idx="2">
                  <c:v>FLAT15</c:v>
                </c:pt>
                <c:pt idx="3">
                  <c:v>FLAT20</c:v>
                </c:pt>
                <c:pt idx="4">
                  <c:v>DEL0</c:v>
                </c:pt>
                <c:pt idx="5">
                  <c:v>NONE</c:v>
                </c:pt>
              </c:strCache>
            </c:strRef>
          </c:cat>
          <c:val>
            <c:numRef>
              <c:f>Coupon_Analysis!$B$2:$B$7</c:f>
              <c:numCache>
                <c:formatCode>General</c:formatCode>
                <c:ptCount val="6"/>
                <c:pt idx="0">
                  <c:v>104</c:v>
                </c:pt>
                <c:pt idx="1">
                  <c:v>140</c:v>
                </c:pt>
                <c:pt idx="2">
                  <c:v>103</c:v>
                </c:pt>
                <c:pt idx="3">
                  <c:v>44</c:v>
                </c:pt>
                <c:pt idx="4">
                  <c:v>129</c:v>
                </c:pt>
                <c:pt idx="5">
                  <c:v>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Sales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Month_Gender!B1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Month_Gender!$A$2:$A$13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Month_Gender!$B$2:$B$13</c:f>
              <c:numCache>
                <c:formatCode>\₹#,##0.00</c:formatCode>
                <c:ptCount val="12"/>
                <c:pt idx="0">
                  <c:v>77459.5</c:v>
                </c:pt>
                <c:pt idx="1">
                  <c:v>87350.25</c:v>
                </c:pt>
                <c:pt idx="2">
                  <c:v>163900.6</c:v>
                </c:pt>
                <c:pt idx="3">
                  <c:v>147244.5</c:v>
                </c:pt>
                <c:pt idx="4">
                  <c:v>118338.3</c:v>
                </c:pt>
                <c:pt idx="5">
                  <c:v>157606.95</c:v>
                </c:pt>
                <c:pt idx="6">
                  <c:v>98021.8</c:v>
                </c:pt>
                <c:pt idx="7">
                  <c:v>111125.2</c:v>
                </c:pt>
                <c:pt idx="8">
                  <c:v>110286.65</c:v>
                </c:pt>
                <c:pt idx="9">
                  <c:v>179731.45</c:v>
                </c:pt>
                <c:pt idx="10">
                  <c:v>174108.2</c:v>
                </c:pt>
                <c:pt idx="11">
                  <c:v>79139.85</c:v>
                </c:pt>
              </c:numCache>
            </c:numRef>
          </c:val>
        </c:ser>
        <c:ser>
          <c:idx val="1"/>
          <c:order val="1"/>
          <c:tx>
            <c:strRef>
              <c:f>Month_Gender!C1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Month_Gender!$A$2:$A$13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Month_Gender!$C$2:$C$13</c:f>
              <c:numCache>
                <c:formatCode>\₹#,##0.00</c:formatCode>
                <c:ptCount val="12"/>
                <c:pt idx="0">
                  <c:v>157537.95</c:v>
                </c:pt>
                <c:pt idx="1">
                  <c:v>84223.2</c:v>
                </c:pt>
                <c:pt idx="2">
                  <c:v>143532</c:v>
                </c:pt>
                <c:pt idx="3">
                  <c:v>91057.95</c:v>
                </c:pt>
                <c:pt idx="4">
                  <c:v>116585.5</c:v>
                </c:pt>
                <c:pt idx="5">
                  <c:v>171955.6</c:v>
                </c:pt>
                <c:pt idx="6">
                  <c:v>131203.3</c:v>
                </c:pt>
                <c:pt idx="7">
                  <c:v>207032.6</c:v>
                </c:pt>
                <c:pt idx="8">
                  <c:v>76170.3</c:v>
                </c:pt>
                <c:pt idx="9">
                  <c:v>92068.6</c:v>
                </c:pt>
                <c:pt idx="10">
                  <c:v>106427.6</c:v>
                </c:pt>
                <c:pt idx="11">
                  <c:v>167576.8</c:v>
                </c:pt>
              </c:numCache>
            </c:numRef>
          </c:val>
        </c:ser>
        <c:gapWidth val="150"/>
        <c:overlap val="0"/>
        <c:axId val="55114376"/>
        <c:axId val="24388665"/>
      </c:barChart>
      <c:catAx>
        <c:axId val="5511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388665"/>
        <c:crosses val="autoZero"/>
        <c:auto val="1"/>
        <c:lblAlgn val="ctr"/>
        <c:lblOffset val="100"/>
        <c:noMultiLvlLbl val="0"/>
      </c:catAx>
      <c:valAx>
        <c:axId val="24388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1143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City-wise Total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City_Analysis!B1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City_Analysis!$A$2:$A$11</c:f>
              <c:strCache>
                <c:ptCount val="10"/>
                <c:pt idx="0">
                  <c:v>Hyderabad</c:v>
                </c:pt>
                <c:pt idx="1">
                  <c:v>Bengaluru</c:v>
                </c:pt>
                <c:pt idx="2">
                  <c:v>Chennai</c:v>
                </c:pt>
                <c:pt idx="3">
                  <c:v>Mumbai</c:v>
                </c:pt>
                <c:pt idx="4">
                  <c:v>Pune</c:v>
                </c:pt>
                <c:pt idx="5">
                  <c:v>Delhi</c:v>
                </c:pt>
                <c:pt idx="6">
                  <c:v>Kolkata</c:v>
                </c:pt>
                <c:pt idx="7">
                  <c:v>Ahmedabad</c:v>
                </c:pt>
                <c:pt idx="8">
                  <c:v>Jaipur</c:v>
                </c:pt>
                <c:pt idx="9">
                  <c:v>Kochi</c:v>
                </c:pt>
              </c:strCache>
            </c:strRef>
          </c:cat>
          <c:val>
            <c:numRef>
              <c:f>City_Analysis!$B$2:$B$11</c:f>
              <c:numCache>
                <c:formatCode>General</c:formatCode>
                <c:ptCount val="10"/>
                <c:pt idx="0">
                  <c:v>63</c:v>
                </c:pt>
                <c:pt idx="1">
                  <c:v>57</c:v>
                </c:pt>
                <c:pt idx="2">
                  <c:v>57</c:v>
                </c:pt>
                <c:pt idx="3">
                  <c:v>62</c:v>
                </c:pt>
                <c:pt idx="4">
                  <c:v>53</c:v>
                </c:pt>
                <c:pt idx="5">
                  <c:v>65</c:v>
                </c:pt>
                <c:pt idx="6">
                  <c:v>81</c:v>
                </c:pt>
                <c:pt idx="7">
                  <c:v>58</c:v>
                </c:pt>
                <c:pt idx="8">
                  <c:v>54</c:v>
                </c:pt>
                <c:pt idx="9">
                  <c:v>50</c:v>
                </c:pt>
              </c:numCache>
            </c:numRef>
          </c:val>
        </c:ser>
        <c:gapWidth val="150"/>
        <c:overlap val="0"/>
        <c:axId val="83235199"/>
        <c:axId val="94010300"/>
      </c:barChart>
      <c:catAx>
        <c:axId val="8323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010300"/>
        <c:crosses val="autoZero"/>
        <c:auto val="1"/>
        <c:lblAlgn val="ctr"/>
        <c:lblOffset val="100"/>
        <c:noMultiLvlLbl val="0"/>
      </c:catAx>
      <c:valAx>
        <c:axId val="94010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235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4</xdr:col>
      <xdr:colOff>294480</xdr:colOff>
      <xdr:row>20</xdr:row>
      <xdr:rowOff>43200</xdr:rowOff>
    </xdr:to>
    <xdr:graphicFrame>
      <xdr:nvGraphicFramePr>
        <xdr:cNvPr id="0" name="Chart 1"/>
        <xdr:cNvGraphicFramePr/>
      </xdr:nvGraphicFramePr>
      <xdr:xfrm>
        <a:off x="0" y="13334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7</xdr:row>
      <xdr:rowOff>0</xdr:rowOff>
    </xdr:from>
    <xdr:to>
      <xdr:col>9</xdr:col>
      <xdr:colOff>490680</xdr:colOff>
      <xdr:row>20</xdr:row>
      <xdr:rowOff>43200</xdr:rowOff>
    </xdr:to>
    <xdr:graphicFrame>
      <xdr:nvGraphicFramePr>
        <xdr:cNvPr id="1" name="Chart 2"/>
        <xdr:cNvGraphicFramePr/>
      </xdr:nvGraphicFramePr>
      <xdr:xfrm>
        <a:off x="5497920" y="133344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4</xdr:col>
      <xdr:colOff>294480</xdr:colOff>
      <xdr:row>35</xdr:row>
      <xdr:rowOff>43200</xdr:rowOff>
    </xdr:to>
    <xdr:graphicFrame>
      <xdr:nvGraphicFramePr>
        <xdr:cNvPr id="2" name="Chart 3"/>
        <xdr:cNvGraphicFramePr/>
      </xdr:nvGraphicFramePr>
      <xdr:xfrm>
        <a:off x="0" y="419112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22</xdr:row>
      <xdr:rowOff>0</xdr:rowOff>
    </xdr:from>
    <xdr:to>
      <xdr:col>9</xdr:col>
      <xdr:colOff>490680</xdr:colOff>
      <xdr:row>35</xdr:row>
      <xdr:rowOff>43200</xdr:rowOff>
    </xdr:to>
    <xdr:graphicFrame>
      <xdr:nvGraphicFramePr>
        <xdr:cNvPr id="3" name="Chart 4"/>
        <xdr:cNvGraphicFramePr/>
      </xdr:nvGraphicFramePr>
      <xdr:xfrm>
        <a:off x="5497920" y="41911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4</xdr:col>
      <xdr:colOff>294480</xdr:colOff>
      <xdr:row>50</xdr:row>
      <xdr:rowOff>43200</xdr:rowOff>
    </xdr:to>
    <xdr:graphicFrame>
      <xdr:nvGraphicFramePr>
        <xdr:cNvPr id="4" name="Chart 5"/>
        <xdr:cNvGraphicFramePr/>
      </xdr:nvGraphicFramePr>
      <xdr:xfrm>
        <a:off x="0" y="704844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37</xdr:row>
      <xdr:rowOff>0</xdr:rowOff>
    </xdr:from>
    <xdr:to>
      <xdr:col>9</xdr:col>
      <xdr:colOff>490680</xdr:colOff>
      <xdr:row>50</xdr:row>
      <xdr:rowOff>43200</xdr:rowOff>
    </xdr:to>
    <xdr:graphicFrame>
      <xdr:nvGraphicFramePr>
        <xdr:cNvPr id="5" name="Chart 6"/>
        <xdr:cNvGraphicFramePr/>
      </xdr:nvGraphicFramePr>
      <xdr:xfrm>
        <a:off x="5497920" y="704844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AB601" headerRowCount="1" totalsRowCount="0" totalsRowShown="0">
  <autoFilter ref="A1:AB601"/>
  <tableColumns count="28">
    <tableColumn id="1" name="Customer_ID"/>
    <tableColumn id="2" name="First_Name"/>
    <tableColumn id="3" name="Last_Name"/>
    <tableColumn id="4" name="Age"/>
    <tableColumn id="5" name="Gender"/>
    <tableColumn id="6" name="City"/>
    <tableColumn id="7" name="Email"/>
    <tableColumn id="8" name="Address"/>
    <tableColumn id="9" name="Order_ID"/>
    <tableColumn id="10" name="Order_Date"/>
    <tableColumn id="11" name="Order_Time"/>
    <tableColumn id="12" name="Product_ID"/>
    <tableColumn id="13" name="Price"/>
    <tableColumn id="14" name="Quantity"/>
    <tableColumn id="15" name="Coupon_Code"/>
    <tableColumn id="16" name="Estimated_Days_to_Deliver"/>
    <tableColumn id="17" name="Delivery_Charge"/>
    <tableColumn id="18" name="Delivery_Date"/>
    <tableColumn id="19" name="Delivery_Time"/>
    <tableColumn id="20" name="Days_to_Deliver"/>
    <tableColumn id="21" name="Amount"/>
    <tableColumn id="22" name="Discount_Percent"/>
    <tableColumn id="23" name="Discounted_Amount"/>
    <tableColumn id="24" name="Amount_with_Delivery_Charge"/>
    <tableColumn id="25" name="Full_Name"/>
    <tableColumn id="26" name="Delivery_Status"/>
    <tableColumn id="27" name="Order_Month"/>
    <tableColumn id="28" name="Product_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2" min="1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15" hidden="false" customHeight="true" outlineLevel="0" collapsed="false">
      <c r="A4" s="2" t="s">
        <v>1</v>
      </c>
      <c r="B4" s="2"/>
      <c r="C4" s="2"/>
      <c r="D4" s="2" t="s">
        <v>2</v>
      </c>
      <c r="E4" s="2"/>
      <c r="F4" s="2"/>
      <c r="G4" s="2" t="s">
        <v>3</v>
      </c>
      <c r="H4" s="2"/>
      <c r="I4" s="2"/>
      <c r="J4" s="2" t="s">
        <v>4</v>
      </c>
      <c r="K4" s="2"/>
      <c r="L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mergeCells count="5">
    <mergeCell ref="A1:L2"/>
    <mergeCell ref="A4:C6"/>
    <mergeCell ref="D4:F6"/>
    <mergeCell ref="G4:I6"/>
    <mergeCell ref="J4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23"/>
    <col collapsed="false" customWidth="true" hidden="false" outlineLevel="0" max="17" min="17" style="0" width="16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17"/>
    <col collapsed="false" customWidth="true" hidden="false" outlineLevel="0" max="23" min="23" style="0" width="18"/>
    <col collapsed="false" customWidth="true" hidden="false" outlineLevel="0" max="24" min="24" style="0" width="25"/>
    <col collapsed="false" customWidth="true" hidden="false" outlineLevel="0" max="25" min="25" style="0" width="22"/>
    <col collapsed="false" customWidth="true" hidden="false" outlineLevel="0" max="26" min="26" style="0" width="16"/>
    <col collapsed="false" customWidth="true" hidden="false" outlineLevel="0" max="27" min="27" style="0" width="12"/>
    <col collapsed="false" customWidth="true" hidden="false" outlineLevel="0" max="28" min="28" style="0" width="22"/>
  </cols>
  <sheetData>
    <row r="1" customFormat="false" ht="1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s">
        <v>35</v>
      </c>
      <c r="D2" s="0" t="n">
        <v>37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4" t="n">
        <v>45937</v>
      </c>
      <c r="K2" s="0" t="s">
        <v>41</v>
      </c>
      <c r="L2" s="0" t="s">
        <v>42</v>
      </c>
      <c r="M2" s="5" t="n">
        <v>2199</v>
      </c>
      <c r="N2" s="0" t="n">
        <v>1</v>
      </c>
      <c r="O2" s="0" t="s">
        <v>43</v>
      </c>
      <c r="P2" s="0" t="n">
        <v>2</v>
      </c>
      <c r="Q2" s="5" t="n">
        <v>40</v>
      </c>
      <c r="R2" s="4" t="n">
        <v>45939</v>
      </c>
      <c r="S2" s="0" t="s">
        <v>44</v>
      </c>
      <c r="T2" s="0" t="n">
        <f aca="false">R2-J2</f>
        <v>2</v>
      </c>
      <c r="U2" s="5" t="n">
        <f aca="false">M2*N2</f>
        <v>2199</v>
      </c>
      <c r="V2" s="6" t="n">
        <f aca="false">IF(O2="FLAT5",5%,IF(O2="FLAT10",10%,IF(O2="FLAT15",15%,IF(O2="FLAT20",20%,0))))</f>
        <v>0.2</v>
      </c>
      <c r="W2" s="5" t="n">
        <f aca="false">U2*(1-V2)</f>
        <v>1759.2</v>
      </c>
      <c r="X2" s="5" t="n">
        <f aca="false">W2+IF(O2="DEL0",0,Q2)</f>
        <v>1799.2</v>
      </c>
      <c r="Y2" s="0" t="str">
        <f aca="false">B2&amp;" "&amp;C2</f>
        <v>Diya Sharma</v>
      </c>
      <c r="Z2" s="0" t="str">
        <f aca="false">IF(T2&lt;P2,"BeforeTime",IF(T2=P2,"Intime","Late"))</f>
        <v>Intime</v>
      </c>
      <c r="AA2" s="0" t="str">
        <f aca="false">TEXT(J2,"mmm")</f>
        <v>Oct</v>
      </c>
      <c r="AB2" s="0" t="e">
        <f aca="false">xlookup(L2,Products!A:A,Products!B:B,"")</f>
        <v>#NAME?</v>
      </c>
    </row>
    <row r="3" customFormat="false" ht="15" hidden="false" customHeight="false" outlineLevel="0" collapsed="false">
      <c r="A3" s="0" t="s">
        <v>45</v>
      </c>
      <c r="B3" s="0" t="s">
        <v>46</v>
      </c>
      <c r="C3" s="0" t="s">
        <v>47</v>
      </c>
      <c r="D3" s="0" t="n">
        <v>54</v>
      </c>
      <c r="E3" s="0" t="s">
        <v>48</v>
      </c>
      <c r="F3" s="0" t="s">
        <v>37</v>
      </c>
      <c r="G3" s="0" t="s">
        <v>49</v>
      </c>
      <c r="H3" s="0" t="s">
        <v>50</v>
      </c>
      <c r="I3" s="0" t="s">
        <v>51</v>
      </c>
      <c r="J3" s="4" t="n">
        <v>45661</v>
      </c>
      <c r="K3" s="0" t="s">
        <v>52</v>
      </c>
      <c r="L3" s="0" t="s">
        <v>53</v>
      </c>
      <c r="M3" s="5" t="n">
        <v>2499</v>
      </c>
      <c r="N3" s="0" t="n">
        <v>3</v>
      </c>
      <c r="O3" s="0" t="s">
        <v>54</v>
      </c>
      <c r="P3" s="0" t="n">
        <v>3</v>
      </c>
      <c r="Q3" s="5" t="n">
        <v>0</v>
      </c>
      <c r="R3" s="4" t="n">
        <v>45664</v>
      </c>
      <c r="S3" s="0" t="s">
        <v>55</v>
      </c>
      <c r="T3" s="0" t="n">
        <f aca="false">R3-J3</f>
        <v>3</v>
      </c>
      <c r="U3" s="5" t="n">
        <f aca="false">M3*N3</f>
        <v>7497</v>
      </c>
      <c r="V3" s="6" t="n">
        <f aca="false">IF(O3="FLAT5",5%,IF(O3="FLAT10",10%,IF(O3="FLAT15",15%,IF(O3="FLAT20",20%,0))))</f>
        <v>0</v>
      </c>
      <c r="W3" s="5" t="n">
        <f aca="false">U3*(1-V3)</f>
        <v>7497</v>
      </c>
      <c r="X3" s="5" t="n">
        <f aca="false">W3+IF(O3="DEL0",0,Q3)</f>
        <v>7497</v>
      </c>
      <c r="Y3" s="0" t="str">
        <f aca="false">B3&amp;" "&amp;C3</f>
        <v>Sanjana Verma</v>
      </c>
      <c r="Z3" s="0" t="str">
        <f aca="false">IF(T3&lt;P3,"BeforeTime",IF(T3=P3,"Intime","Late"))</f>
        <v>Intime</v>
      </c>
      <c r="AA3" s="0" t="str">
        <f aca="false">TEXT(J3,"mmm")</f>
        <v>Jan</v>
      </c>
      <c r="AB3" s="0" t="e">
        <f aca="false">xlookup(L3,Products!A:A,Products!B:B,"")</f>
        <v>#NAME?</v>
      </c>
    </row>
    <row r="4" customFormat="false" ht="15" hidden="false" customHeight="false" outlineLevel="0" collapsed="false">
      <c r="A4" s="0" t="s">
        <v>56</v>
      </c>
      <c r="B4" s="0" t="s">
        <v>57</v>
      </c>
      <c r="C4" s="0" t="s">
        <v>58</v>
      </c>
      <c r="D4" s="0" t="n">
        <v>26</v>
      </c>
      <c r="E4" s="0" t="s">
        <v>48</v>
      </c>
      <c r="F4" s="0" t="s">
        <v>59</v>
      </c>
      <c r="G4" s="0" t="s">
        <v>60</v>
      </c>
      <c r="H4" s="0" t="s">
        <v>61</v>
      </c>
      <c r="I4" s="0" t="s">
        <v>62</v>
      </c>
      <c r="J4" s="4" t="n">
        <v>45893</v>
      </c>
      <c r="K4" s="0" t="s">
        <v>63</v>
      </c>
      <c r="L4" s="0" t="s">
        <v>64</v>
      </c>
      <c r="M4" s="5" t="n">
        <v>2799</v>
      </c>
      <c r="N4" s="0" t="n">
        <v>3</v>
      </c>
      <c r="O4" s="0" t="s">
        <v>54</v>
      </c>
      <c r="P4" s="0" t="n">
        <v>6</v>
      </c>
      <c r="Q4" s="5" t="n">
        <v>0</v>
      </c>
      <c r="R4" s="4" t="n">
        <v>45897</v>
      </c>
      <c r="S4" s="0" t="s">
        <v>65</v>
      </c>
      <c r="T4" s="0" t="n">
        <f aca="false">R4-J4</f>
        <v>4</v>
      </c>
      <c r="U4" s="5" t="n">
        <f aca="false">M4*N4</f>
        <v>8397</v>
      </c>
      <c r="V4" s="6" t="n">
        <f aca="false">IF(O4="FLAT5",5%,IF(O4="FLAT10",10%,IF(O4="FLAT15",15%,IF(O4="FLAT20",20%,0))))</f>
        <v>0</v>
      </c>
      <c r="W4" s="5" t="n">
        <f aca="false">U4*(1-V4)</f>
        <v>8397</v>
      </c>
      <c r="X4" s="5" t="n">
        <f aca="false">W4+IF(O4="DEL0",0,Q4)</f>
        <v>8397</v>
      </c>
      <c r="Y4" s="0" t="str">
        <f aca="false">B4&amp;" "&amp;C4</f>
        <v>Arjun Iyer</v>
      </c>
      <c r="Z4" s="0" t="str">
        <f aca="false">IF(T4&lt;P4,"BeforeTime",IF(T4=P4,"Intime","Late"))</f>
        <v>BeforeTime</v>
      </c>
      <c r="AA4" s="0" t="str">
        <f aca="false">TEXT(J4,"mmm")</f>
        <v>Aug</v>
      </c>
      <c r="AB4" s="0" t="e">
        <f aca="false">xlookup(L4,Products!A:A,Products!B:B,"")</f>
        <v>#NAME?</v>
      </c>
    </row>
    <row r="5" customFormat="false" ht="15" hidden="false" customHeight="false" outlineLevel="0" collapsed="false">
      <c r="A5" s="0" t="s">
        <v>66</v>
      </c>
      <c r="B5" s="0" t="s">
        <v>67</v>
      </c>
      <c r="C5" s="0" t="s">
        <v>47</v>
      </c>
      <c r="D5" s="0" t="n">
        <v>24</v>
      </c>
      <c r="E5" s="0" t="s">
        <v>36</v>
      </c>
      <c r="F5" s="0" t="s">
        <v>37</v>
      </c>
      <c r="G5" s="0" t="s">
        <v>68</v>
      </c>
      <c r="H5" s="0" t="s">
        <v>69</v>
      </c>
      <c r="I5" s="0" t="s">
        <v>70</v>
      </c>
      <c r="J5" s="4" t="n">
        <v>45709</v>
      </c>
      <c r="K5" s="0" t="s">
        <v>71</v>
      </c>
      <c r="L5" s="0" t="s">
        <v>72</v>
      </c>
      <c r="M5" s="5" t="n">
        <v>1299</v>
      </c>
      <c r="N5" s="0" t="n">
        <v>1</v>
      </c>
      <c r="O5" s="0" t="s">
        <v>54</v>
      </c>
      <c r="P5" s="0" t="n">
        <v>5</v>
      </c>
      <c r="Q5" s="5" t="n">
        <v>0</v>
      </c>
      <c r="R5" s="4" t="n">
        <v>45714</v>
      </c>
      <c r="S5" s="0" t="s">
        <v>73</v>
      </c>
      <c r="T5" s="0" t="n">
        <f aca="false">R5-J5</f>
        <v>5</v>
      </c>
      <c r="U5" s="5" t="n">
        <f aca="false">M5*N5</f>
        <v>1299</v>
      </c>
      <c r="V5" s="6" t="n">
        <f aca="false">IF(O5="FLAT5",5%,IF(O5="FLAT10",10%,IF(O5="FLAT15",15%,IF(O5="FLAT20",20%,0))))</f>
        <v>0</v>
      </c>
      <c r="W5" s="5" t="n">
        <f aca="false">U5*(1-V5)</f>
        <v>1299</v>
      </c>
      <c r="X5" s="5" t="n">
        <f aca="false">W5+IF(O5="DEL0",0,Q5)</f>
        <v>1299</v>
      </c>
      <c r="Y5" s="0" t="str">
        <f aca="false">B5&amp;" "&amp;C5</f>
        <v>Priya Verma</v>
      </c>
      <c r="Z5" s="0" t="str">
        <f aca="false">IF(T5&lt;P5,"BeforeTime",IF(T5=P5,"Intime","Late"))</f>
        <v>Intime</v>
      </c>
      <c r="AA5" s="0" t="str">
        <f aca="false">TEXT(J5,"mmm")</f>
        <v>Feb</v>
      </c>
      <c r="AB5" s="0" t="e">
        <f aca="false">xlookup(L5,Products!A:A,Products!B:B,"")</f>
        <v>#NAME?</v>
      </c>
    </row>
    <row r="6" customFormat="false" ht="15" hidden="false" customHeight="false" outlineLevel="0" collapsed="false">
      <c r="A6" s="0" t="s">
        <v>74</v>
      </c>
      <c r="B6" s="0" t="s">
        <v>75</v>
      </c>
      <c r="C6" s="0" t="s">
        <v>76</v>
      </c>
      <c r="D6" s="0" t="n">
        <v>58</v>
      </c>
      <c r="E6" s="0" t="s">
        <v>36</v>
      </c>
      <c r="F6" s="0" t="s">
        <v>77</v>
      </c>
      <c r="G6" s="0" t="s">
        <v>78</v>
      </c>
      <c r="H6" s="0" t="s">
        <v>79</v>
      </c>
      <c r="I6" s="0" t="s">
        <v>80</v>
      </c>
      <c r="J6" s="4" t="n">
        <v>45852</v>
      </c>
      <c r="K6" s="0" t="s">
        <v>81</v>
      </c>
      <c r="L6" s="0" t="s">
        <v>82</v>
      </c>
      <c r="M6" s="5" t="n">
        <v>1199</v>
      </c>
      <c r="N6" s="0" t="n">
        <v>2</v>
      </c>
      <c r="O6" s="0" t="s">
        <v>83</v>
      </c>
      <c r="P6" s="0" t="n">
        <v>4</v>
      </c>
      <c r="Q6" s="5" t="n">
        <v>120</v>
      </c>
      <c r="R6" s="4" t="n">
        <v>45858</v>
      </c>
      <c r="S6" s="0" t="s">
        <v>84</v>
      </c>
      <c r="T6" s="0" t="n">
        <f aca="false">R6-J6</f>
        <v>6</v>
      </c>
      <c r="U6" s="5" t="n">
        <f aca="false">M6*N6</f>
        <v>2398</v>
      </c>
      <c r="V6" s="6" t="n">
        <f aca="false">IF(O6="FLAT5",5%,IF(O6="FLAT10",10%,IF(O6="FLAT15",15%,IF(O6="FLAT20",20%,0))))</f>
        <v>0.05</v>
      </c>
      <c r="W6" s="5" t="n">
        <f aca="false">U6*(1-V6)</f>
        <v>2278.1</v>
      </c>
      <c r="X6" s="5" t="n">
        <f aca="false">W6+IF(O6="DEL0",0,Q6)</f>
        <v>2398.1</v>
      </c>
      <c r="Y6" s="0" t="str">
        <f aca="false">B6&amp;" "&amp;C6</f>
        <v>Vikram Patel</v>
      </c>
      <c r="Z6" s="0" t="str">
        <f aca="false">IF(T6&lt;P6,"BeforeTime",IF(T6=P6,"Intime","Late"))</f>
        <v>Late</v>
      </c>
      <c r="AA6" s="0" t="str">
        <f aca="false">TEXT(J6,"mmm")</f>
        <v>Jul</v>
      </c>
      <c r="AB6" s="0" t="e">
        <f aca="false">xlookup(L6,Products!A:A,Products!B:B,"")</f>
        <v>#NAME?</v>
      </c>
    </row>
    <row r="7" customFormat="false" ht="15" hidden="false" customHeight="false" outlineLevel="0" collapsed="false">
      <c r="A7" s="0" t="s">
        <v>85</v>
      </c>
      <c r="B7" s="0" t="s">
        <v>86</v>
      </c>
      <c r="C7" s="0" t="s">
        <v>58</v>
      </c>
      <c r="D7" s="0" t="n">
        <v>37</v>
      </c>
      <c r="E7" s="0" t="s">
        <v>36</v>
      </c>
      <c r="F7" s="0" t="s">
        <v>37</v>
      </c>
      <c r="G7" s="0" t="s">
        <v>87</v>
      </c>
      <c r="H7" s="0" t="s">
        <v>88</v>
      </c>
      <c r="I7" s="0" t="s">
        <v>89</v>
      </c>
      <c r="J7" s="4" t="n">
        <v>45913</v>
      </c>
      <c r="K7" s="0" t="s">
        <v>90</v>
      </c>
      <c r="L7" s="0" t="s">
        <v>64</v>
      </c>
      <c r="M7" s="5" t="n">
        <v>2799</v>
      </c>
      <c r="N7" s="0" t="n">
        <v>3</v>
      </c>
      <c r="O7" s="0" t="s">
        <v>91</v>
      </c>
      <c r="P7" s="0" t="n">
        <v>5</v>
      </c>
      <c r="Q7" s="5" t="n">
        <v>50</v>
      </c>
      <c r="R7" s="4" t="n">
        <v>45922</v>
      </c>
      <c r="S7" s="0" t="s">
        <v>92</v>
      </c>
      <c r="T7" s="0" t="n">
        <f aca="false">R7-J7</f>
        <v>9</v>
      </c>
      <c r="U7" s="5" t="n">
        <f aca="false">M7*N7</f>
        <v>8397</v>
      </c>
      <c r="V7" s="6" t="n">
        <f aca="false">IF(O7="FLAT5",5%,IF(O7="FLAT10",10%,IF(O7="FLAT15",15%,IF(O7="FLAT20",20%,0))))</f>
        <v>0.1</v>
      </c>
      <c r="W7" s="5" t="n">
        <f aca="false">U7*(1-V7)</f>
        <v>7557.3</v>
      </c>
      <c r="X7" s="5" t="n">
        <f aca="false">W7+IF(O7="DEL0",0,Q7)</f>
        <v>7607.3</v>
      </c>
      <c r="Y7" s="0" t="str">
        <f aca="false">B7&amp;" "&amp;C7</f>
        <v>Rahul Iyer</v>
      </c>
      <c r="Z7" s="0" t="str">
        <f aca="false">IF(T7&lt;P7,"BeforeTime",IF(T7=P7,"Intime","Late"))</f>
        <v>Late</v>
      </c>
      <c r="AA7" s="0" t="str">
        <f aca="false">TEXT(J7,"mmm")</f>
        <v>Sep</v>
      </c>
      <c r="AB7" s="0" t="e">
        <f aca="false">xlookup(L7,Products!A:A,Products!B:B,"")</f>
        <v>#NAME?</v>
      </c>
    </row>
    <row r="8" customFormat="false" ht="15" hidden="false" customHeight="false" outlineLevel="0" collapsed="false">
      <c r="A8" s="0" t="s">
        <v>93</v>
      </c>
      <c r="B8" s="0" t="s">
        <v>94</v>
      </c>
      <c r="C8" s="0" t="s">
        <v>95</v>
      </c>
      <c r="D8" s="0" t="n">
        <v>57</v>
      </c>
      <c r="E8" s="0" t="s">
        <v>48</v>
      </c>
      <c r="F8" s="0" t="s">
        <v>59</v>
      </c>
      <c r="G8" s="0" t="s">
        <v>96</v>
      </c>
      <c r="H8" s="0" t="s">
        <v>97</v>
      </c>
      <c r="I8" s="0" t="s">
        <v>98</v>
      </c>
      <c r="J8" s="4" t="n">
        <v>45704</v>
      </c>
      <c r="K8" s="0" t="s">
        <v>99</v>
      </c>
      <c r="L8" s="0" t="s">
        <v>100</v>
      </c>
      <c r="M8" s="5" t="n">
        <v>999</v>
      </c>
      <c r="N8" s="0" t="n">
        <v>2</v>
      </c>
      <c r="O8" s="0" t="s">
        <v>101</v>
      </c>
      <c r="P8" s="0" t="n">
        <v>2</v>
      </c>
      <c r="Q8" s="5" t="n">
        <v>120</v>
      </c>
      <c r="R8" s="4" t="n">
        <v>45708</v>
      </c>
      <c r="S8" s="0" t="s">
        <v>102</v>
      </c>
      <c r="T8" s="0" t="n">
        <f aca="false">R8-J8</f>
        <v>4</v>
      </c>
      <c r="U8" s="5" t="n">
        <f aca="false">M8*N8</f>
        <v>1998</v>
      </c>
      <c r="V8" s="6" t="n">
        <f aca="false">IF(O8="FLAT5",5%,IF(O8="FLAT10",10%,IF(O8="FLAT15",15%,IF(O8="FLAT20",20%,0))))</f>
        <v>0.15</v>
      </c>
      <c r="W8" s="5" t="n">
        <f aca="false">U8*(1-V8)</f>
        <v>1698.3</v>
      </c>
      <c r="X8" s="5" t="n">
        <f aca="false">W8+IF(O8="DEL0",0,Q8)</f>
        <v>1818.3</v>
      </c>
      <c r="Y8" s="0" t="str">
        <f aca="false">B8&amp;" "&amp;C8</f>
        <v>Manoj Mishra</v>
      </c>
      <c r="Z8" s="0" t="str">
        <f aca="false">IF(T8&lt;P8,"BeforeTime",IF(T8=P8,"Intime","Late"))</f>
        <v>Late</v>
      </c>
      <c r="AA8" s="0" t="str">
        <f aca="false">TEXT(J8,"mmm")</f>
        <v>Feb</v>
      </c>
      <c r="AB8" s="0" t="e">
        <f aca="false">xlookup(L8,Products!A:A,Products!B:B,"")</f>
        <v>#NAME?</v>
      </c>
    </row>
    <row r="9" customFormat="false" ht="15" hidden="false" customHeight="false" outlineLevel="0" collapsed="false">
      <c r="A9" s="0" t="s">
        <v>103</v>
      </c>
      <c r="B9" s="0" t="s">
        <v>104</v>
      </c>
      <c r="C9" s="0" t="s">
        <v>105</v>
      </c>
      <c r="D9" s="0" t="n">
        <v>53</v>
      </c>
      <c r="E9" s="0" t="s">
        <v>48</v>
      </c>
      <c r="F9" s="0" t="s">
        <v>77</v>
      </c>
      <c r="G9" s="0" t="s">
        <v>106</v>
      </c>
      <c r="H9" s="0" t="s">
        <v>107</v>
      </c>
      <c r="I9" s="0" t="s">
        <v>108</v>
      </c>
      <c r="J9" s="4" t="n">
        <v>45932</v>
      </c>
      <c r="K9" s="0" t="s">
        <v>109</v>
      </c>
      <c r="L9" s="0" t="s">
        <v>110</v>
      </c>
      <c r="M9" s="5" t="n">
        <v>1499</v>
      </c>
      <c r="N9" s="0" t="n">
        <v>1</v>
      </c>
      <c r="O9" s="0" t="s">
        <v>54</v>
      </c>
      <c r="P9" s="0" t="n">
        <v>4</v>
      </c>
      <c r="Q9" s="5" t="n">
        <v>0</v>
      </c>
      <c r="R9" s="4" t="n">
        <v>45939</v>
      </c>
      <c r="S9" s="0" t="s">
        <v>111</v>
      </c>
      <c r="T9" s="0" t="n">
        <f aca="false">R9-J9</f>
        <v>7</v>
      </c>
      <c r="U9" s="5" t="n">
        <f aca="false">M9*N9</f>
        <v>1499</v>
      </c>
      <c r="V9" s="6" t="n">
        <f aca="false">IF(O9="FLAT5",5%,IF(O9="FLAT10",10%,IF(O9="FLAT15",15%,IF(O9="FLAT20",20%,0))))</f>
        <v>0</v>
      </c>
      <c r="W9" s="5" t="n">
        <f aca="false">U9*(1-V9)</f>
        <v>1499</v>
      </c>
      <c r="X9" s="5" t="n">
        <f aca="false">W9+IF(O9="DEL0",0,Q9)</f>
        <v>1499</v>
      </c>
      <c r="Y9" s="0" t="str">
        <f aca="false">B9&amp;" "&amp;C9</f>
        <v>Keerthi Bhat</v>
      </c>
      <c r="Z9" s="0" t="str">
        <f aca="false">IF(T9&lt;P9,"BeforeTime",IF(T9=P9,"Intime","Late"))</f>
        <v>Late</v>
      </c>
      <c r="AA9" s="0" t="str">
        <f aca="false">TEXT(J9,"mmm")</f>
        <v>Oct</v>
      </c>
      <c r="AB9" s="0" t="e">
        <f aca="false">xlookup(L9,Products!A:A,Products!B:B,"")</f>
        <v>#NAME?</v>
      </c>
    </row>
    <row r="10" customFormat="false" ht="15" hidden="false" customHeight="false" outlineLevel="0" collapsed="false">
      <c r="A10" s="0" t="s">
        <v>112</v>
      </c>
      <c r="B10" s="0" t="s">
        <v>75</v>
      </c>
      <c r="C10" s="0" t="s">
        <v>113</v>
      </c>
      <c r="D10" s="0" t="n">
        <v>52</v>
      </c>
      <c r="E10" s="0" t="s">
        <v>36</v>
      </c>
      <c r="F10" s="0" t="s">
        <v>114</v>
      </c>
      <c r="G10" s="0" t="s">
        <v>115</v>
      </c>
      <c r="H10" s="0" t="s">
        <v>116</v>
      </c>
      <c r="I10" s="0" t="s">
        <v>117</v>
      </c>
      <c r="J10" s="4" t="n">
        <v>45740</v>
      </c>
      <c r="K10" s="0" t="s">
        <v>118</v>
      </c>
      <c r="L10" s="0" t="s">
        <v>119</v>
      </c>
      <c r="M10" s="5" t="n">
        <v>899</v>
      </c>
      <c r="N10" s="0" t="n">
        <v>2</v>
      </c>
      <c r="O10" s="0" t="s">
        <v>83</v>
      </c>
      <c r="P10" s="0" t="n">
        <v>6</v>
      </c>
      <c r="Q10" s="5" t="n">
        <v>90</v>
      </c>
      <c r="R10" s="4" t="n">
        <v>45747</v>
      </c>
      <c r="S10" s="0" t="s">
        <v>120</v>
      </c>
      <c r="T10" s="0" t="n">
        <f aca="false">R10-J10</f>
        <v>7</v>
      </c>
      <c r="U10" s="5" t="n">
        <f aca="false">M10*N10</f>
        <v>1798</v>
      </c>
      <c r="V10" s="6" t="n">
        <f aca="false">IF(O10="FLAT5",5%,IF(O10="FLAT10",10%,IF(O10="FLAT15",15%,IF(O10="FLAT20",20%,0))))</f>
        <v>0.05</v>
      </c>
      <c r="W10" s="5" t="n">
        <f aca="false">U10*(1-V10)</f>
        <v>1708.1</v>
      </c>
      <c r="X10" s="5" t="n">
        <f aca="false">W10+IF(O10="DEL0",0,Q10)</f>
        <v>1798.1</v>
      </c>
      <c r="Y10" s="0" t="str">
        <f aca="false">B10&amp;" "&amp;C10</f>
        <v>Vikram Rao</v>
      </c>
      <c r="Z10" s="0" t="str">
        <f aca="false">IF(T10&lt;P10,"BeforeTime",IF(T10=P10,"Intime","Late"))</f>
        <v>Late</v>
      </c>
      <c r="AA10" s="0" t="str">
        <f aca="false">TEXT(J10,"mmm")</f>
        <v>Mar</v>
      </c>
      <c r="AB10" s="0" t="e">
        <f aca="false">xlookup(L10,Products!A:A,Products!B:B,"")</f>
        <v>#NAME?</v>
      </c>
    </row>
    <row r="11" customFormat="false" ht="15" hidden="false" customHeight="false" outlineLevel="0" collapsed="false">
      <c r="A11" s="0" t="s">
        <v>121</v>
      </c>
      <c r="B11" s="0" t="s">
        <v>122</v>
      </c>
      <c r="C11" s="0" t="s">
        <v>123</v>
      </c>
      <c r="D11" s="0" t="n">
        <v>23</v>
      </c>
      <c r="E11" s="0" t="s">
        <v>36</v>
      </c>
      <c r="F11" s="0" t="s">
        <v>124</v>
      </c>
      <c r="G11" s="0" t="s">
        <v>125</v>
      </c>
      <c r="H11" s="0" t="s">
        <v>126</v>
      </c>
      <c r="I11" s="0" t="s">
        <v>127</v>
      </c>
      <c r="J11" s="4" t="n">
        <v>45693</v>
      </c>
      <c r="K11" s="0" t="s">
        <v>128</v>
      </c>
      <c r="L11" s="0" t="s">
        <v>129</v>
      </c>
      <c r="M11" s="5" t="n">
        <v>2999</v>
      </c>
      <c r="N11" s="0" t="n">
        <v>1</v>
      </c>
      <c r="O11" s="0" t="s">
        <v>54</v>
      </c>
      <c r="P11" s="0" t="n">
        <v>6</v>
      </c>
      <c r="Q11" s="5" t="n">
        <v>0</v>
      </c>
      <c r="R11" s="4" t="n">
        <v>45701</v>
      </c>
      <c r="S11" s="0" t="s">
        <v>130</v>
      </c>
      <c r="T11" s="0" t="n">
        <f aca="false">R11-J11</f>
        <v>8</v>
      </c>
      <c r="U11" s="5" t="n">
        <f aca="false">M11*N11</f>
        <v>2999</v>
      </c>
      <c r="V11" s="6" t="n">
        <f aca="false">IF(O11="FLAT5",5%,IF(O11="FLAT10",10%,IF(O11="FLAT15",15%,IF(O11="FLAT20",20%,0))))</f>
        <v>0</v>
      </c>
      <c r="W11" s="5" t="n">
        <f aca="false">U11*(1-V11)</f>
        <v>2999</v>
      </c>
      <c r="X11" s="5" t="n">
        <f aca="false">W11+IF(O11="DEL0",0,Q11)</f>
        <v>2999</v>
      </c>
      <c r="Y11" s="0" t="str">
        <f aca="false">B11&amp;" "&amp;C11</f>
        <v>Meera Nair</v>
      </c>
      <c r="Z11" s="0" t="str">
        <f aca="false">IF(T11&lt;P11,"BeforeTime",IF(T11=P11,"Intime","Late"))</f>
        <v>Late</v>
      </c>
      <c r="AA11" s="0" t="str">
        <f aca="false">TEXT(J11,"mmm")</f>
        <v>Feb</v>
      </c>
      <c r="AB11" s="0" t="e">
        <f aca="false">xlookup(L11,Products!A:A,Products!B:B,"")</f>
        <v>#NAME?</v>
      </c>
    </row>
    <row r="12" customFormat="false" ht="15" hidden="false" customHeight="false" outlineLevel="0" collapsed="false">
      <c r="A12" s="0" t="s">
        <v>131</v>
      </c>
      <c r="B12" s="0" t="s">
        <v>104</v>
      </c>
      <c r="C12" s="0" t="s">
        <v>95</v>
      </c>
      <c r="D12" s="0" t="n">
        <v>33</v>
      </c>
      <c r="E12" s="0" t="s">
        <v>36</v>
      </c>
      <c r="F12" s="0" t="s">
        <v>114</v>
      </c>
      <c r="G12" s="0" t="s">
        <v>132</v>
      </c>
      <c r="H12" s="0" t="s">
        <v>133</v>
      </c>
      <c r="I12" s="0" t="s">
        <v>134</v>
      </c>
      <c r="J12" s="4" t="n">
        <v>45922</v>
      </c>
      <c r="K12" s="0" t="s">
        <v>135</v>
      </c>
      <c r="L12" s="0" t="s">
        <v>136</v>
      </c>
      <c r="M12" s="5" t="n">
        <v>1799</v>
      </c>
      <c r="N12" s="0" t="n">
        <v>3</v>
      </c>
      <c r="O12" s="0" t="s">
        <v>101</v>
      </c>
      <c r="P12" s="0" t="n">
        <v>5</v>
      </c>
      <c r="Q12" s="5" t="n">
        <v>40</v>
      </c>
      <c r="R12" s="4" t="n">
        <v>45924</v>
      </c>
      <c r="S12" s="0" t="s">
        <v>137</v>
      </c>
      <c r="T12" s="0" t="n">
        <f aca="false">R12-J12</f>
        <v>2</v>
      </c>
      <c r="U12" s="5" t="n">
        <f aca="false">M12*N12</f>
        <v>5397</v>
      </c>
      <c r="V12" s="6" t="n">
        <f aca="false">IF(O12="FLAT5",5%,IF(O12="FLAT10",10%,IF(O12="FLAT15",15%,IF(O12="FLAT20",20%,0))))</f>
        <v>0.15</v>
      </c>
      <c r="W12" s="5" t="n">
        <f aca="false">U12*(1-V12)</f>
        <v>4587.45</v>
      </c>
      <c r="X12" s="5" t="n">
        <f aca="false">W12+IF(O12="DEL0",0,Q12)</f>
        <v>4627.45</v>
      </c>
      <c r="Y12" s="0" t="str">
        <f aca="false">B12&amp;" "&amp;C12</f>
        <v>Keerthi Mishra</v>
      </c>
      <c r="Z12" s="0" t="str">
        <f aca="false">IF(T12&lt;P12,"BeforeTime",IF(T12=P12,"Intime","Late"))</f>
        <v>BeforeTime</v>
      </c>
      <c r="AA12" s="0" t="str">
        <f aca="false">TEXT(J12,"mmm")</f>
        <v>Sep</v>
      </c>
      <c r="AB12" s="0" t="e">
        <f aca="false">xlookup(L12,Products!A:A,Products!B:B,"")</f>
        <v>#NAME?</v>
      </c>
    </row>
    <row r="13" customFormat="false" ht="15" hidden="false" customHeight="false" outlineLevel="0" collapsed="false">
      <c r="A13" s="0" t="s">
        <v>138</v>
      </c>
      <c r="B13" s="0" t="s">
        <v>139</v>
      </c>
      <c r="C13" s="0" t="s">
        <v>76</v>
      </c>
      <c r="D13" s="0" t="n">
        <v>23</v>
      </c>
      <c r="E13" s="0" t="s">
        <v>36</v>
      </c>
      <c r="F13" s="0" t="s">
        <v>140</v>
      </c>
      <c r="G13" s="0" t="s">
        <v>141</v>
      </c>
      <c r="H13" s="0" t="s">
        <v>142</v>
      </c>
      <c r="I13" s="0" t="s">
        <v>143</v>
      </c>
      <c r="J13" s="4" t="n">
        <v>45779</v>
      </c>
      <c r="K13" s="0" t="s">
        <v>144</v>
      </c>
      <c r="L13" s="0" t="s">
        <v>110</v>
      </c>
      <c r="M13" s="5" t="n">
        <v>1499</v>
      </c>
      <c r="N13" s="0" t="n">
        <v>3</v>
      </c>
      <c r="O13" s="0" t="s">
        <v>83</v>
      </c>
      <c r="P13" s="0" t="n">
        <v>4</v>
      </c>
      <c r="Q13" s="5" t="n">
        <v>50</v>
      </c>
      <c r="R13" s="4" t="n">
        <v>45783</v>
      </c>
      <c r="S13" s="0" t="s">
        <v>145</v>
      </c>
      <c r="T13" s="0" t="n">
        <f aca="false">R13-J13</f>
        <v>4</v>
      </c>
      <c r="U13" s="5" t="n">
        <f aca="false">M13*N13</f>
        <v>4497</v>
      </c>
      <c r="V13" s="6" t="n">
        <f aca="false">IF(O13="FLAT5",5%,IF(O13="FLAT10",10%,IF(O13="FLAT15",15%,IF(O13="FLAT20",20%,0))))</f>
        <v>0.05</v>
      </c>
      <c r="W13" s="5" t="n">
        <f aca="false">U13*(1-V13)</f>
        <v>4272.15</v>
      </c>
      <c r="X13" s="5" t="n">
        <f aca="false">W13+IF(O13="DEL0",0,Q13)</f>
        <v>4322.15</v>
      </c>
      <c r="Y13" s="0" t="str">
        <f aca="false">B13&amp;" "&amp;C13</f>
        <v>Aarav Patel</v>
      </c>
      <c r="Z13" s="0" t="str">
        <f aca="false">IF(T13&lt;P13,"BeforeTime",IF(T13=P13,"Intime","Late"))</f>
        <v>Intime</v>
      </c>
      <c r="AA13" s="0" t="str">
        <f aca="false">TEXT(J13,"mmm")</f>
        <v>May</v>
      </c>
      <c r="AB13" s="0" t="e">
        <f aca="false">xlookup(L13,Products!A:A,Products!B:B,"")</f>
        <v>#NAME?</v>
      </c>
    </row>
    <row r="14" customFormat="false" ht="15" hidden="false" customHeight="false" outlineLevel="0" collapsed="false">
      <c r="A14" s="0" t="s">
        <v>146</v>
      </c>
      <c r="B14" s="0" t="s">
        <v>147</v>
      </c>
      <c r="C14" s="0" t="s">
        <v>95</v>
      </c>
      <c r="D14" s="0" t="n">
        <v>32</v>
      </c>
      <c r="E14" s="0" t="s">
        <v>36</v>
      </c>
      <c r="F14" s="0" t="s">
        <v>140</v>
      </c>
      <c r="G14" s="0" t="s">
        <v>148</v>
      </c>
      <c r="H14" s="0" t="s">
        <v>149</v>
      </c>
      <c r="I14" s="0" t="s">
        <v>150</v>
      </c>
      <c r="J14" s="4" t="n">
        <v>45868</v>
      </c>
      <c r="K14" s="0" t="s">
        <v>151</v>
      </c>
      <c r="L14" s="0" t="s">
        <v>119</v>
      </c>
      <c r="M14" s="5" t="n">
        <v>899</v>
      </c>
      <c r="N14" s="0" t="n">
        <v>4</v>
      </c>
      <c r="O14" s="0" t="s">
        <v>91</v>
      </c>
      <c r="P14" s="0" t="n">
        <v>5</v>
      </c>
      <c r="Q14" s="5" t="n">
        <v>120</v>
      </c>
      <c r="R14" s="4" t="n">
        <v>45874</v>
      </c>
      <c r="S14" s="0" t="s">
        <v>152</v>
      </c>
      <c r="T14" s="0" t="n">
        <f aca="false">R14-J14</f>
        <v>6</v>
      </c>
      <c r="U14" s="5" t="n">
        <f aca="false">M14*N14</f>
        <v>3596</v>
      </c>
      <c r="V14" s="6" t="n">
        <f aca="false">IF(O14="FLAT5",5%,IF(O14="FLAT10",10%,IF(O14="FLAT15",15%,IF(O14="FLAT20",20%,0))))</f>
        <v>0.1</v>
      </c>
      <c r="W14" s="5" t="n">
        <f aca="false">U14*(1-V14)</f>
        <v>3236.4</v>
      </c>
      <c r="X14" s="5" t="n">
        <f aca="false">W14+IF(O14="DEL0",0,Q14)</f>
        <v>3356.4</v>
      </c>
      <c r="Y14" s="0" t="str">
        <f aca="false">B14&amp;" "&amp;C14</f>
        <v>Pooja Mishra</v>
      </c>
      <c r="Z14" s="0" t="str">
        <f aca="false">IF(T14&lt;P14,"BeforeTime",IF(T14=P14,"Intime","Late"))</f>
        <v>Late</v>
      </c>
      <c r="AA14" s="0" t="str">
        <f aca="false">TEXT(J14,"mmm")</f>
        <v>Jul</v>
      </c>
      <c r="AB14" s="0" t="e">
        <f aca="false">xlookup(L14,Products!A:A,Products!B:B,"")</f>
        <v>#NAME?</v>
      </c>
    </row>
    <row r="15" customFormat="false" ht="15" hidden="false" customHeight="false" outlineLevel="0" collapsed="false">
      <c r="A15" s="0" t="s">
        <v>153</v>
      </c>
      <c r="B15" s="0" t="s">
        <v>34</v>
      </c>
      <c r="C15" s="0" t="s">
        <v>123</v>
      </c>
      <c r="D15" s="0" t="n">
        <v>32</v>
      </c>
      <c r="E15" s="0" t="s">
        <v>36</v>
      </c>
      <c r="F15" s="0" t="s">
        <v>77</v>
      </c>
      <c r="G15" s="0" t="s">
        <v>154</v>
      </c>
      <c r="H15" s="0" t="s">
        <v>155</v>
      </c>
      <c r="I15" s="0" t="s">
        <v>156</v>
      </c>
      <c r="J15" s="4" t="n">
        <v>45800</v>
      </c>
      <c r="K15" s="0" t="s">
        <v>157</v>
      </c>
      <c r="L15" s="0" t="s">
        <v>53</v>
      </c>
      <c r="M15" s="5" t="n">
        <v>2499</v>
      </c>
      <c r="N15" s="0" t="n">
        <v>2</v>
      </c>
      <c r="O15" s="0" t="s">
        <v>101</v>
      </c>
      <c r="P15" s="0" t="n">
        <v>5</v>
      </c>
      <c r="Q15" s="5" t="n">
        <v>40</v>
      </c>
      <c r="R15" s="4" t="n">
        <v>45805</v>
      </c>
      <c r="S15" s="0" t="s">
        <v>158</v>
      </c>
      <c r="T15" s="0" t="n">
        <f aca="false">R15-J15</f>
        <v>5</v>
      </c>
      <c r="U15" s="5" t="n">
        <f aca="false">M15*N15</f>
        <v>4998</v>
      </c>
      <c r="V15" s="6" t="n">
        <f aca="false">IF(O15="FLAT5",5%,IF(O15="FLAT10",10%,IF(O15="FLAT15",15%,IF(O15="FLAT20",20%,0))))</f>
        <v>0.15</v>
      </c>
      <c r="W15" s="5" t="n">
        <f aca="false">U15*(1-V15)</f>
        <v>4248.3</v>
      </c>
      <c r="X15" s="5" t="n">
        <f aca="false">W15+IF(O15="DEL0",0,Q15)</f>
        <v>4288.3</v>
      </c>
      <c r="Y15" s="0" t="str">
        <f aca="false">B15&amp;" "&amp;C15</f>
        <v>Diya Nair</v>
      </c>
      <c r="Z15" s="0" t="str">
        <f aca="false">IF(T15&lt;P15,"BeforeTime",IF(T15=P15,"Intime","Late"))</f>
        <v>Intime</v>
      </c>
      <c r="AA15" s="0" t="str">
        <f aca="false">TEXT(J15,"mmm")</f>
        <v>May</v>
      </c>
      <c r="AB15" s="0" t="e">
        <f aca="false">xlookup(L15,Products!A:A,Products!B:B,"")</f>
        <v>#NAME?</v>
      </c>
    </row>
    <row r="16" customFormat="false" ht="15" hidden="false" customHeight="false" outlineLevel="0" collapsed="false">
      <c r="A16" s="0" t="s">
        <v>159</v>
      </c>
      <c r="B16" s="0" t="s">
        <v>139</v>
      </c>
      <c r="C16" s="0" t="s">
        <v>76</v>
      </c>
      <c r="D16" s="0" t="n">
        <v>35</v>
      </c>
      <c r="E16" s="0" t="s">
        <v>36</v>
      </c>
      <c r="F16" s="0" t="s">
        <v>160</v>
      </c>
      <c r="G16" s="0" t="s">
        <v>161</v>
      </c>
      <c r="H16" s="0" t="s">
        <v>162</v>
      </c>
      <c r="I16" s="0" t="s">
        <v>163</v>
      </c>
      <c r="J16" s="4" t="n">
        <v>45863</v>
      </c>
      <c r="K16" s="0" t="s">
        <v>164</v>
      </c>
      <c r="L16" s="0" t="s">
        <v>53</v>
      </c>
      <c r="M16" s="5" t="n">
        <v>2499</v>
      </c>
      <c r="N16" s="0" t="n">
        <v>4</v>
      </c>
      <c r="O16" s="0" t="s">
        <v>91</v>
      </c>
      <c r="P16" s="0" t="n">
        <v>2</v>
      </c>
      <c r="Q16" s="5" t="n">
        <v>40</v>
      </c>
      <c r="R16" s="4" t="n">
        <v>45864</v>
      </c>
      <c r="S16" s="0" t="s">
        <v>165</v>
      </c>
      <c r="T16" s="0" t="n">
        <f aca="false">R16-J16</f>
        <v>1</v>
      </c>
      <c r="U16" s="5" t="n">
        <f aca="false">M16*N16</f>
        <v>9996</v>
      </c>
      <c r="V16" s="6" t="n">
        <f aca="false">IF(O16="FLAT5",5%,IF(O16="FLAT10",10%,IF(O16="FLAT15",15%,IF(O16="FLAT20",20%,0))))</f>
        <v>0.1</v>
      </c>
      <c r="W16" s="5" t="n">
        <f aca="false">U16*(1-V16)</f>
        <v>8996.4</v>
      </c>
      <c r="X16" s="5" t="n">
        <f aca="false">W16+IF(O16="DEL0",0,Q16)</f>
        <v>9036.4</v>
      </c>
      <c r="Y16" s="0" t="str">
        <f aca="false">B16&amp;" "&amp;C16</f>
        <v>Aarav Patel</v>
      </c>
      <c r="Z16" s="0" t="str">
        <f aca="false">IF(T16&lt;P16,"BeforeTime",IF(T16=P16,"Intime","Late"))</f>
        <v>BeforeTime</v>
      </c>
      <c r="AA16" s="0" t="str">
        <f aca="false">TEXT(J16,"mmm")</f>
        <v>Jul</v>
      </c>
      <c r="AB16" s="0" t="e">
        <f aca="false">xlookup(L16,Products!A:A,Products!B:B,"")</f>
        <v>#NAME?</v>
      </c>
    </row>
    <row r="17" customFormat="false" ht="15" hidden="false" customHeight="false" outlineLevel="0" collapsed="false">
      <c r="A17" s="0" t="s">
        <v>166</v>
      </c>
      <c r="B17" s="0" t="s">
        <v>46</v>
      </c>
      <c r="C17" s="0" t="s">
        <v>167</v>
      </c>
      <c r="D17" s="0" t="n">
        <v>29</v>
      </c>
      <c r="E17" s="0" t="s">
        <v>36</v>
      </c>
      <c r="F17" s="0" t="s">
        <v>114</v>
      </c>
      <c r="G17" s="0" t="s">
        <v>168</v>
      </c>
      <c r="H17" s="0" t="s">
        <v>169</v>
      </c>
      <c r="I17" s="0" t="s">
        <v>170</v>
      </c>
      <c r="J17" s="4" t="n">
        <v>45935</v>
      </c>
      <c r="K17" s="0" t="s">
        <v>171</v>
      </c>
      <c r="L17" s="0" t="s">
        <v>100</v>
      </c>
      <c r="M17" s="5" t="n">
        <v>999</v>
      </c>
      <c r="N17" s="0" t="n">
        <v>1</v>
      </c>
      <c r="O17" s="0" t="s">
        <v>101</v>
      </c>
      <c r="P17" s="0" t="n">
        <v>2</v>
      </c>
      <c r="Q17" s="5" t="n">
        <v>40</v>
      </c>
      <c r="R17" s="4" t="n">
        <v>45937</v>
      </c>
      <c r="S17" s="0" t="s">
        <v>172</v>
      </c>
      <c r="T17" s="0" t="n">
        <f aca="false">R17-J17</f>
        <v>2</v>
      </c>
      <c r="U17" s="5" t="n">
        <f aca="false">M17*N17</f>
        <v>999</v>
      </c>
      <c r="V17" s="6" t="n">
        <f aca="false">IF(O17="FLAT5",5%,IF(O17="FLAT10",10%,IF(O17="FLAT15",15%,IF(O17="FLAT20",20%,0))))</f>
        <v>0.15</v>
      </c>
      <c r="W17" s="5" t="n">
        <f aca="false">U17*(1-V17)</f>
        <v>849.15</v>
      </c>
      <c r="X17" s="5" t="n">
        <f aca="false">W17+IF(O17="DEL0",0,Q17)</f>
        <v>889.15</v>
      </c>
      <c r="Y17" s="0" t="str">
        <f aca="false">B17&amp;" "&amp;C17</f>
        <v>Sanjana Chowdhury</v>
      </c>
      <c r="Z17" s="0" t="str">
        <f aca="false">IF(T17&lt;P17,"BeforeTime",IF(T17=P17,"Intime","Late"))</f>
        <v>Intime</v>
      </c>
      <c r="AA17" s="0" t="str">
        <f aca="false">TEXT(J17,"mmm")</f>
        <v>Oct</v>
      </c>
      <c r="AB17" s="0" t="e">
        <f aca="false">xlookup(L17,Products!A:A,Products!B:B,"")</f>
        <v>#NAME?</v>
      </c>
    </row>
    <row r="18" customFormat="false" ht="15" hidden="false" customHeight="false" outlineLevel="0" collapsed="false">
      <c r="A18" s="0" t="s">
        <v>173</v>
      </c>
      <c r="B18" s="0" t="s">
        <v>174</v>
      </c>
      <c r="C18" s="0" t="s">
        <v>76</v>
      </c>
      <c r="D18" s="0" t="n">
        <v>31</v>
      </c>
      <c r="E18" s="0" t="s">
        <v>36</v>
      </c>
      <c r="F18" s="0" t="s">
        <v>124</v>
      </c>
      <c r="G18" s="0" t="s">
        <v>175</v>
      </c>
      <c r="H18" s="0" t="s">
        <v>176</v>
      </c>
      <c r="I18" s="0" t="s">
        <v>177</v>
      </c>
      <c r="J18" s="4" t="n">
        <v>45949</v>
      </c>
      <c r="K18" s="0" t="s">
        <v>178</v>
      </c>
      <c r="L18" s="0" t="s">
        <v>129</v>
      </c>
      <c r="M18" s="5" t="n">
        <v>2999</v>
      </c>
      <c r="N18" s="0" t="n">
        <v>2</v>
      </c>
      <c r="O18" s="0" t="s">
        <v>91</v>
      </c>
      <c r="P18" s="0" t="n">
        <v>3</v>
      </c>
      <c r="Q18" s="5" t="n">
        <v>40</v>
      </c>
      <c r="R18" s="4" t="n">
        <v>45952</v>
      </c>
      <c r="S18" s="0" t="s">
        <v>179</v>
      </c>
      <c r="T18" s="0" t="n">
        <f aca="false">R18-J18</f>
        <v>3</v>
      </c>
      <c r="U18" s="5" t="n">
        <f aca="false">M18*N18</f>
        <v>5998</v>
      </c>
      <c r="V18" s="6" t="n">
        <f aca="false">IF(O18="FLAT5",5%,IF(O18="FLAT10",10%,IF(O18="FLAT15",15%,IF(O18="FLAT20",20%,0))))</f>
        <v>0.1</v>
      </c>
      <c r="W18" s="5" t="n">
        <f aca="false">U18*(1-V18)</f>
        <v>5398.2</v>
      </c>
      <c r="X18" s="5" t="n">
        <f aca="false">W18+IF(O18="DEL0",0,Q18)</f>
        <v>5438.2</v>
      </c>
      <c r="Y18" s="0" t="str">
        <f aca="false">B18&amp;" "&amp;C18</f>
        <v>Ananya Patel</v>
      </c>
      <c r="Z18" s="0" t="str">
        <f aca="false">IF(T18&lt;P18,"BeforeTime",IF(T18=P18,"Intime","Late"))</f>
        <v>Intime</v>
      </c>
      <c r="AA18" s="0" t="str">
        <f aca="false">TEXT(J18,"mmm")</f>
        <v>Oct</v>
      </c>
      <c r="AB18" s="0" t="e">
        <f aca="false">xlookup(L18,Products!A:A,Products!B:B,"")</f>
        <v>#NAME?</v>
      </c>
    </row>
    <row r="19" customFormat="false" ht="15" hidden="false" customHeight="false" outlineLevel="0" collapsed="false">
      <c r="A19" s="0" t="s">
        <v>180</v>
      </c>
      <c r="B19" s="0" t="s">
        <v>86</v>
      </c>
      <c r="C19" s="0" t="s">
        <v>181</v>
      </c>
      <c r="D19" s="0" t="n">
        <v>33</v>
      </c>
      <c r="E19" s="0" t="s">
        <v>48</v>
      </c>
      <c r="F19" s="0" t="s">
        <v>37</v>
      </c>
      <c r="G19" s="0" t="s">
        <v>182</v>
      </c>
      <c r="H19" s="0" t="s">
        <v>183</v>
      </c>
      <c r="I19" s="0" t="s">
        <v>184</v>
      </c>
      <c r="J19" s="4" t="n">
        <v>45988</v>
      </c>
      <c r="K19" s="0" t="s">
        <v>185</v>
      </c>
      <c r="L19" s="0" t="s">
        <v>72</v>
      </c>
      <c r="M19" s="5" t="n">
        <v>1299</v>
      </c>
      <c r="N19" s="0" t="n">
        <v>4</v>
      </c>
      <c r="O19" s="0" t="s">
        <v>83</v>
      </c>
      <c r="P19" s="0" t="n">
        <v>4</v>
      </c>
      <c r="Q19" s="5" t="n">
        <v>40</v>
      </c>
      <c r="R19" s="4" t="n">
        <v>45992</v>
      </c>
      <c r="S19" s="0" t="s">
        <v>186</v>
      </c>
      <c r="T19" s="0" t="n">
        <f aca="false">R19-J19</f>
        <v>4</v>
      </c>
      <c r="U19" s="5" t="n">
        <f aca="false">M19*N19</f>
        <v>5196</v>
      </c>
      <c r="V19" s="6" t="n">
        <f aca="false">IF(O19="FLAT5",5%,IF(O19="FLAT10",10%,IF(O19="FLAT15",15%,IF(O19="FLAT20",20%,0))))</f>
        <v>0.05</v>
      </c>
      <c r="W19" s="5" t="n">
        <f aca="false">U19*(1-V19)</f>
        <v>4936.2</v>
      </c>
      <c r="X19" s="5" t="n">
        <f aca="false">W19+IF(O19="DEL0",0,Q19)</f>
        <v>4976.2</v>
      </c>
      <c r="Y19" s="0" t="str">
        <f aca="false">B19&amp;" "&amp;C19</f>
        <v>Rahul Gupta</v>
      </c>
      <c r="Z19" s="0" t="str">
        <f aca="false">IF(T19&lt;P19,"BeforeTime",IF(T19=P19,"Intime","Late"))</f>
        <v>Intime</v>
      </c>
      <c r="AA19" s="0" t="str">
        <f aca="false">TEXT(J19,"mmm")</f>
        <v>Nov</v>
      </c>
      <c r="AB19" s="0" t="e">
        <f aca="false">xlookup(L19,Products!A:A,Products!B:B,"")</f>
        <v>#NAME?</v>
      </c>
    </row>
    <row r="20" customFormat="false" ht="15" hidden="false" customHeight="false" outlineLevel="0" collapsed="false">
      <c r="A20" s="0" t="s">
        <v>187</v>
      </c>
      <c r="B20" s="0" t="s">
        <v>188</v>
      </c>
      <c r="C20" s="0" t="s">
        <v>181</v>
      </c>
      <c r="D20" s="0" t="n">
        <v>28</v>
      </c>
      <c r="E20" s="0" t="s">
        <v>48</v>
      </c>
      <c r="F20" s="0" t="s">
        <v>140</v>
      </c>
      <c r="G20" s="0" t="s">
        <v>189</v>
      </c>
      <c r="H20" s="0" t="s">
        <v>190</v>
      </c>
      <c r="I20" s="0" t="s">
        <v>191</v>
      </c>
      <c r="J20" s="4" t="n">
        <v>45882</v>
      </c>
      <c r="K20" s="0" t="s">
        <v>192</v>
      </c>
      <c r="L20" s="0" t="s">
        <v>100</v>
      </c>
      <c r="M20" s="5" t="n">
        <v>999</v>
      </c>
      <c r="N20" s="0" t="n">
        <v>3</v>
      </c>
      <c r="O20" s="0" t="s">
        <v>91</v>
      </c>
      <c r="P20" s="0" t="n">
        <v>6</v>
      </c>
      <c r="Q20" s="5" t="n">
        <v>90</v>
      </c>
      <c r="R20" s="4" t="n">
        <v>45888</v>
      </c>
      <c r="S20" s="0" t="s">
        <v>193</v>
      </c>
      <c r="T20" s="0" t="n">
        <f aca="false">R20-J20</f>
        <v>6</v>
      </c>
      <c r="U20" s="5" t="n">
        <f aca="false">M20*N20</f>
        <v>2997</v>
      </c>
      <c r="V20" s="6" t="n">
        <f aca="false">IF(O20="FLAT5",5%,IF(O20="FLAT10",10%,IF(O20="FLAT15",15%,IF(O20="FLAT20",20%,0))))</f>
        <v>0.1</v>
      </c>
      <c r="W20" s="5" t="n">
        <f aca="false">U20*(1-V20)</f>
        <v>2697.3</v>
      </c>
      <c r="X20" s="5" t="n">
        <f aca="false">W20+IF(O20="DEL0",0,Q20)</f>
        <v>2787.3</v>
      </c>
      <c r="Y20" s="0" t="str">
        <f aca="false">B20&amp;" "&amp;C20</f>
        <v>Rohan Gupta</v>
      </c>
      <c r="Z20" s="0" t="str">
        <f aca="false">IF(T20&lt;P20,"BeforeTime",IF(T20=P20,"Intime","Late"))</f>
        <v>Intime</v>
      </c>
      <c r="AA20" s="0" t="str">
        <f aca="false">TEXT(J20,"mmm")</f>
        <v>Aug</v>
      </c>
      <c r="AB20" s="0" t="e">
        <f aca="false">xlookup(L20,Products!A:A,Products!B:B,"")</f>
        <v>#NAME?</v>
      </c>
    </row>
    <row r="21" customFormat="false" ht="15" hidden="false" customHeight="false" outlineLevel="0" collapsed="false">
      <c r="A21" s="0" t="s">
        <v>194</v>
      </c>
      <c r="B21" s="0" t="s">
        <v>34</v>
      </c>
      <c r="C21" s="0" t="s">
        <v>195</v>
      </c>
      <c r="D21" s="0" t="n">
        <v>36</v>
      </c>
      <c r="E21" s="0" t="s">
        <v>36</v>
      </c>
      <c r="F21" s="0" t="s">
        <v>140</v>
      </c>
      <c r="G21" s="0" t="s">
        <v>196</v>
      </c>
      <c r="H21" s="0" t="s">
        <v>197</v>
      </c>
      <c r="I21" s="0" t="s">
        <v>198</v>
      </c>
      <c r="J21" s="4" t="n">
        <v>45967</v>
      </c>
      <c r="K21" s="0" t="s">
        <v>199</v>
      </c>
      <c r="L21" s="0" t="s">
        <v>82</v>
      </c>
      <c r="M21" s="5" t="n">
        <v>1199</v>
      </c>
      <c r="N21" s="0" t="n">
        <v>2</v>
      </c>
      <c r="O21" s="0" t="s">
        <v>91</v>
      </c>
      <c r="P21" s="0" t="n">
        <v>3</v>
      </c>
      <c r="Q21" s="5" t="n">
        <v>50</v>
      </c>
      <c r="R21" s="4" t="n">
        <v>45970</v>
      </c>
      <c r="S21" s="0" t="s">
        <v>200</v>
      </c>
      <c r="T21" s="0" t="n">
        <f aca="false">R21-J21</f>
        <v>3</v>
      </c>
      <c r="U21" s="5" t="n">
        <f aca="false">M21*N21</f>
        <v>2398</v>
      </c>
      <c r="V21" s="6" t="n">
        <f aca="false">IF(O21="FLAT5",5%,IF(O21="FLAT10",10%,IF(O21="FLAT15",15%,IF(O21="FLAT20",20%,0))))</f>
        <v>0.1</v>
      </c>
      <c r="W21" s="5" t="n">
        <f aca="false">U21*(1-V21)</f>
        <v>2158.2</v>
      </c>
      <c r="X21" s="5" t="n">
        <f aca="false">W21+IF(O21="DEL0",0,Q21)</f>
        <v>2208.2</v>
      </c>
      <c r="Y21" s="0" t="str">
        <f aca="false">B21&amp;" "&amp;C21</f>
        <v>Diya Singh</v>
      </c>
      <c r="Z21" s="0" t="str">
        <f aca="false">IF(T21&lt;P21,"BeforeTime",IF(T21=P21,"Intime","Late"))</f>
        <v>Intime</v>
      </c>
      <c r="AA21" s="0" t="str">
        <f aca="false">TEXT(J21,"mmm")</f>
        <v>Nov</v>
      </c>
      <c r="AB21" s="0" t="e">
        <f aca="false">xlookup(L21,Products!A:A,Products!B:B,"")</f>
        <v>#NAME?</v>
      </c>
    </row>
    <row r="22" customFormat="false" ht="15" hidden="false" customHeight="false" outlineLevel="0" collapsed="false">
      <c r="A22" s="0" t="s">
        <v>201</v>
      </c>
      <c r="B22" s="0" t="s">
        <v>174</v>
      </c>
      <c r="C22" s="0" t="s">
        <v>76</v>
      </c>
      <c r="D22" s="0" t="n">
        <v>47</v>
      </c>
      <c r="E22" s="0" t="s">
        <v>48</v>
      </c>
      <c r="F22" s="0" t="s">
        <v>202</v>
      </c>
      <c r="G22" s="0" t="s">
        <v>203</v>
      </c>
      <c r="H22" s="0" t="s">
        <v>204</v>
      </c>
      <c r="I22" s="0" t="s">
        <v>205</v>
      </c>
      <c r="J22" s="4" t="n">
        <v>45984</v>
      </c>
      <c r="K22" s="0" t="s">
        <v>206</v>
      </c>
      <c r="L22" s="0" t="s">
        <v>110</v>
      </c>
      <c r="M22" s="5" t="n">
        <v>1499</v>
      </c>
      <c r="N22" s="0" t="n">
        <v>3</v>
      </c>
      <c r="O22" s="0" t="s">
        <v>54</v>
      </c>
      <c r="P22" s="0" t="n">
        <v>4</v>
      </c>
      <c r="Q22" s="5" t="n">
        <v>0</v>
      </c>
      <c r="R22" s="4" t="n">
        <v>45986</v>
      </c>
      <c r="S22" s="0" t="s">
        <v>207</v>
      </c>
      <c r="T22" s="0" t="n">
        <f aca="false">R22-J22</f>
        <v>2</v>
      </c>
      <c r="U22" s="5" t="n">
        <f aca="false">M22*N22</f>
        <v>4497</v>
      </c>
      <c r="V22" s="6" t="n">
        <f aca="false">IF(O22="FLAT5",5%,IF(O22="FLAT10",10%,IF(O22="FLAT15",15%,IF(O22="FLAT20",20%,0))))</f>
        <v>0</v>
      </c>
      <c r="W22" s="5" t="n">
        <f aca="false">U22*(1-V22)</f>
        <v>4497</v>
      </c>
      <c r="X22" s="5" t="n">
        <f aca="false">W22+IF(O22="DEL0",0,Q22)</f>
        <v>4497</v>
      </c>
      <c r="Y22" s="0" t="str">
        <f aca="false">B22&amp;" "&amp;C22</f>
        <v>Ananya Patel</v>
      </c>
      <c r="Z22" s="0" t="str">
        <f aca="false">IF(T22&lt;P22,"BeforeTime",IF(T22=P22,"Intime","Late"))</f>
        <v>BeforeTime</v>
      </c>
      <c r="AA22" s="0" t="str">
        <f aca="false">TEXT(J22,"mmm")</f>
        <v>Nov</v>
      </c>
      <c r="AB22" s="0" t="e">
        <f aca="false">xlookup(L22,Products!A:A,Products!B:B,"")</f>
        <v>#NAME?</v>
      </c>
    </row>
    <row r="23" customFormat="false" ht="15" hidden="false" customHeight="false" outlineLevel="0" collapsed="false">
      <c r="A23" s="0" t="s">
        <v>208</v>
      </c>
      <c r="B23" s="0" t="s">
        <v>209</v>
      </c>
      <c r="C23" s="0" t="s">
        <v>210</v>
      </c>
      <c r="D23" s="0" t="n">
        <v>43</v>
      </c>
      <c r="E23" s="0" t="s">
        <v>36</v>
      </c>
      <c r="F23" s="0" t="s">
        <v>160</v>
      </c>
      <c r="G23" s="0" t="s">
        <v>211</v>
      </c>
      <c r="H23" s="0" t="s">
        <v>212</v>
      </c>
      <c r="I23" s="0" t="s">
        <v>213</v>
      </c>
      <c r="J23" s="4" t="n">
        <v>45678</v>
      </c>
      <c r="K23" s="0" t="s">
        <v>214</v>
      </c>
      <c r="L23" s="0" t="s">
        <v>42</v>
      </c>
      <c r="M23" s="5" t="n">
        <v>2199</v>
      </c>
      <c r="N23" s="0" t="n">
        <v>1</v>
      </c>
      <c r="O23" s="0" t="s">
        <v>91</v>
      </c>
      <c r="P23" s="0" t="n">
        <v>4</v>
      </c>
      <c r="Q23" s="5" t="n">
        <v>50</v>
      </c>
      <c r="R23" s="4" t="n">
        <v>45682</v>
      </c>
      <c r="S23" s="0" t="s">
        <v>215</v>
      </c>
      <c r="T23" s="0" t="n">
        <f aca="false">R23-J23</f>
        <v>4</v>
      </c>
      <c r="U23" s="5" t="n">
        <f aca="false">M23*N23</f>
        <v>2199</v>
      </c>
      <c r="V23" s="6" t="n">
        <f aca="false">IF(O23="FLAT5",5%,IF(O23="FLAT10",10%,IF(O23="FLAT15",15%,IF(O23="FLAT20",20%,0))))</f>
        <v>0.1</v>
      </c>
      <c r="W23" s="5" t="n">
        <f aca="false">U23*(1-V23)</f>
        <v>1979.1</v>
      </c>
      <c r="X23" s="5" t="n">
        <f aca="false">W23+IF(O23="DEL0",0,Q23)</f>
        <v>2029.1</v>
      </c>
      <c r="Y23" s="0" t="str">
        <f aca="false">B23&amp;" "&amp;C23</f>
        <v>Ishaan Reddy</v>
      </c>
      <c r="Z23" s="0" t="str">
        <f aca="false">IF(T23&lt;P23,"BeforeTime",IF(T23=P23,"Intime","Late"))</f>
        <v>Intime</v>
      </c>
      <c r="AA23" s="0" t="str">
        <f aca="false">TEXT(J23,"mmm")</f>
        <v>Jan</v>
      </c>
      <c r="AB23" s="0" t="e">
        <f aca="false">xlookup(L23,Products!A:A,Products!B:B,"")</f>
        <v>#NAME?</v>
      </c>
    </row>
    <row r="24" customFormat="false" ht="15" hidden="false" customHeight="false" outlineLevel="0" collapsed="false">
      <c r="A24" s="0" t="s">
        <v>216</v>
      </c>
      <c r="B24" s="0" t="s">
        <v>209</v>
      </c>
      <c r="C24" s="0" t="s">
        <v>123</v>
      </c>
      <c r="D24" s="0" t="n">
        <v>30</v>
      </c>
      <c r="E24" s="0" t="s">
        <v>36</v>
      </c>
      <c r="F24" s="0" t="s">
        <v>160</v>
      </c>
      <c r="G24" s="0" t="s">
        <v>217</v>
      </c>
      <c r="H24" s="0" t="s">
        <v>218</v>
      </c>
      <c r="I24" s="0" t="s">
        <v>219</v>
      </c>
      <c r="J24" s="4" t="n">
        <v>45828</v>
      </c>
      <c r="K24" s="0" t="s">
        <v>220</v>
      </c>
      <c r="L24" s="0" t="s">
        <v>110</v>
      </c>
      <c r="M24" s="5" t="n">
        <v>1499</v>
      </c>
      <c r="N24" s="0" t="n">
        <v>2</v>
      </c>
      <c r="O24" s="0" t="s">
        <v>54</v>
      </c>
      <c r="P24" s="0" t="n">
        <v>5</v>
      </c>
      <c r="Q24" s="5" t="n">
        <v>0</v>
      </c>
      <c r="R24" s="4" t="n">
        <v>45835</v>
      </c>
      <c r="S24" s="0" t="s">
        <v>221</v>
      </c>
      <c r="T24" s="0" t="n">
        <f aca="false">R24-J24</f>
        <v>7</v>
      </c>
      <c r="U24" s="5" t="n">
        <f aca="false">M24*N24</f>
        <v>2998</v>
      </c>
      <c r="V24" s="6" t="n">
        <f aca="false">IF(O24="FLAT5",5%,IF(O24="FLAT10",10%,IF(O24="FLAT15",15%,IF(O24="FLAT20",20%,0))))</f>
        <v>0</v>
      </c>
      <c r="W24" s="5" t="n">
        <f aca="false">U24*(1-V24)</f>
        <v>2998</v>
      </c>
      <c r="X24" s="5" t="n">
        <f aca="false">W24+IF(O24="DEL0",0,Q24)</f>
        <v>2998</v>
      </c>
      <c r="Y24" s="0" t="str">
        <f aca="false">B24&amp;" "&amp;C24</f>
        <v>Ishaan Nair</v>
      </c>
      <c r="Z24" s="0" t="str">
        <f aca="false">IF(T24&lt;P24,"BeforeTime",IF(T24=P24,"Intime","Late"))</f>
        <v>Late</v>
      </c>
      <c r="AA24" s="0" t="str">
        <f aca="false">TEXT(J24,"mmm")</f>
        <v>Jun</v>
      </c>
      <c r="AB24" s="0" t="e">
        <f aca="false">xlookup(L24,Products!A:A,Products!B:B,"")</f>
        <v>#NAME?</v>
      </c>
    </row>
    <row r="25" customFormat="false" ht="15" hidden="false" customHeight="false" outlineLevel="0" collapsed="false">
      <c r="A25" s="0" t="s">
        <v>222</v>
      </c>
      <c r="B25" s="0" t="s">
        <v>147</v>
      </c>
      <c r="C25" s="0" t="s">
        <v>123</v>
      </c>
      <c r="D25" s="0" t="n">
        <v>32</v>
      </c>
      <c r="E25" s="0" t="s">
        <v>48</v>
      </c>
      <c r="F25" s="0" t="s">
        <v>59</v>
      </c>
      <c r="G25" s="0" t="s">
        <v>223</v>
      </c>
      <c r="H25" s="0" t="s">
        <v>224</v>
      </c>
      <c r="I25" s="0" t="s">
        <v>225</v>
      </c>
      <c r="J25" s="4" t="n">
        <v>45995</v>
      </c>
      <c r="K25" s="0" t="s">
        <v>226</v>
      </c>
      <c r="L25" s="0" t="s">
        <v>72</v>
      </c>
      <c r="M25" s="5" t="n">
        <v>1299</v>
      </c>
      <c r="N25" s="0" t="n">
        <v>2</v>
      </c>
      <c r="O25" s="0" t="s">
        <v>91</v>
      </c>
      <c r="P25" s="0" t="n">
        <v>3</v>
      </c>
      <c r="Q25" s="5" t="n">
        <v>60</v>
      </c>
      <c r="R25" s="4" t="n">
        <v>45998</v>
      </c>
      <c r="S25" s="0" t="s">
        <v>227</v>
      </c>
      <c r="T25" s="0" t="n">
        <f aca="false">R25-J25</f>
        <v>3</v>
      </c>
      <c r="U25" s="5" t="n">
        <f aca="false">M25*N25</f>
        <v>2598</v>
      </c>
      <c r="V25" s="6" t="n">
        <f aca="false">IF(O25="FLAT5",5%,IF(O25="FLAT10",10%,IF(O25="FLAT15",15%,IF(O25="FLAT20",20%,0))))</f>
        <v>0.1</v>
      </c>
      <c r="W25" s="5" t="n">
        <f aca="false">U25*(1-V25)</f>
        <v>2338.2</v>
      </c>
      <c r="X25" s="5" t="n">
        <f aca="false">W25+IF(O25="DEL0",0,Q25)</f>
        <v>2398.2</v>
      </c>
      <c r="Y25" s="0" t="str">
        <f aca="false">B25&amp;" "&amp;C25</f>
        <v>Pooja Nair</v>
      </c>
      <c r="Z25" s="0" t="str">
        <f aca="false">IF(T25&lt;P25,"BeforeTime",IF(T25=P25,"Intime","Late"))</f>
        <v>Intime</v>
      </c>
      <c r="AA25" s="0" t="str">
        <f aca="false">TEXT(J25,"mmm")</f>
        <v>Dec</v>
      </c>
      <c r="AB25" s="0" t="e">
        <f aca="false">xlookup(L25,Products!A:A,Products!B:B,"")</f>
        <v>#NAME?</v>
      </c>
    </row>
    <row r="26" customFormat="false" ht="15" hidden="false" customHeight="false" outlineLevel="0" collapsed="false">
      <c r="A26" s="0" t="s">
        <v>228</v>
      </c>
      <c r="B26" s="0" t="s">
        <v>46</v>
      </c>
      <c r="C26" s="0" t="s">
        <v>229</v>
      </c>
      <c r="D26" s="0" t="n">
        <v>21</v>
      </c>
      <c r="E26" s="0" t="s">
        <v>36</v>
      </c>
      <c r="F26" s="0" t="s">
        <v>114</v>
      </c>
      <c r="G26" s="0" t="s">
        <v>230</v>
      </c>
      <c r="H26" s="0" t="s">
        <v>231</v>
      </c>
      <c r="I26" s="0" t="s">
        <v>232</v>
      </c>
      <c r="J26" s="4" t="n">
        <v>45963</v>
      </c>
      <c r="K26" s="0" t="s">
        <v>233</v>
      </c>
      <c r="L26" s="0" t="s">
        <v>42</v>
      </c>
      <c r="M26" s="5" t="n">
        <v>2199</v>
      </c>
      <c r="N26" s="0" t="n">
        <v>3</v>
      </c>
      <c r="O26" s="0" t="s">
        <v>83</v>
      </c>
      <c r="P26" s="0" t="n">
        <v>5</v>
      </c>
      <c r="Q26" s="5" t="n">
        <v>60</v>
      </c>
      <c r="R26" s="4" t="n">
        <v>45968</v>
      </c>
      <c r="S26" s="0" t="s">
        <v>234</v>
      </c>
      <c r="T26" s="0" t="n">
        <f aca="false">R26-J26</f>
        <v>5</v>
      </c>
      <c r="U26" s="5" t="n">
        <f aca="false">M26*N26</f>
        <v>6597</v>
      </c>
      <c r="V26" s="6" t="n">
        <f aca="false">IF(O26="FLAT5",5%,IF(O26="FLAT10",10%,IF(O26="FLAT15",15%,IF(O26="FLAT20",20%,0))))</f>
        <v>0.05</v>
      </c>
      <c r="W26" s="5" t="n">
        <f aca="false">U26*(1-V26)</f>
        <v>6267.15</v>
      </c>
      <c r="X26" s="5" t="n">
        <f aca="false">W26+IF(O26="DEL0",0,Q26)</f>
        <v>6327.15</v>
      </c>
      <c r="Y26" s="0" t="str">
        <f aca="false">B26&amp;" "&amp;C26</f>
        <v>Sanjana Joshi</v>
      </c>
      <c r="Z26" s="0" t="str">
        <f aca="false">IF(T26&lt;P26,"BeforeTime",IF(T26=P26,"Intime","Late"))</f>
        <v>Intime</v>
      </c>
      <c r="AA26" s="0" t="str">
        <f aca="false">TEXT(J26,"mmm")</f>
        <v>Nov</v>
      </c>
      <c r="AB26" s="0" t="e">
        <f aca="false">xlookup(L26,Products!A:A,Products!B:B,"")</f>
        <v>#NAME?</v>
      </c>
    </row>
    <row r="27" customFormat="false" ht="15" hidden="false" customHeight="false" outlineLevel="0" collapsed="false">
      <c r="A27" s="0" t="s">
        <v>235</v>
      </c>
      <c r="B27" s="0" t="s">
        <v>75</v>
      </c>
      <c r="C27" s="0" t="s">
        <v>210</v>
      </c>
      <c r="D27" s="0" t="n">
        <v>47</v>
      </c>
      <c r="E27" s="0" t="s">
        <v>36</v>
      </c>
      <c r="F27" s="0" t="s">
        <v>77</v>
      </c>
      <c r="G27" s="0" t="s">
        <v>236</v>
      </c>
      <c r="H27" s="0" t="s">
        <v>237</v>
      </c>
      <c r="I27" s="0" t="s">
        <v>238</v>
      </c>
      <c r="J27" s="4" t="n">
        <v>45693</v>
      </c>
      <c r="K27" s="0" t="s">
        <v>239</v>
      </c>
      <c r="L27" s="0" t="s">
        <v>240</v>
      </c>
      <c r="M27" s="5" t="n">
        <v>4999</v>
      </c>
      <c r="N27" s="0" t="n">
        <v>2</v>
      </c>
      <c r="O27" s="0" t="s">
        <v>91</v>
      </c>
      <c r="P27" s="0" t="n">
        <v>7</v>
      </c>
      <c r="Q27" s="5" t="n">
        <v>120</v>
      </c>
      <c r="R27" s="4" t="n">
        <v>45703</v>
      </c>
      <c r="S27" s="0" t="s">
        <v>241</v>
      </c>
      <c r="T27" s="0" t="n">
        <f aca="false">R27-J27</f>
        <v>10</v>
      </c>
      <c r="U27" s="5" t="n">
        <f aca="false">M27*N27</f>
        <v>9998</v>
      </c>
      <c r="V27" s="6" t="n">
        <f aca="false">IF(O27="FLAT5",5%,IF(O27="FLAT10",10%,IF(O27="FLAT15",15%,IF(O27="FLAT20",20%,0))))</f>
        <v>0.1</v>
      </c>
      <c r="W27" s="5" t="n">
        <f aca="false">U27*(1-V27)</f>
        <v>8998.2</v>
      </c>
      <c r="X27" s="5" t="n">
        <f aca="false">W27+IF(O27="DEL0",0,Q27)</f>
        <v>9118.2</v>
      </c>
      <c r="Y27" s="0" t="str">
        <f aca="false">B27&amp;" "&amp;C27</f>
        <v>Vikram Reddy</v>
      </c>
      <c r="Z27" s="0" t="str">
        <f aca="false">IF(T27&lt;P27,"BeforeTime",IF(T27=P27,"Intime","Late"))</f>
        <v>Late</v>
      </c>
      <c r="AA27" s="0" t="str">
        <f aca="false">TEXT(J27,"mmm")</f>
        <v>Feb</v>
      </c>
      <c r="AB27" s="0" t="e">
        <f aca="false">xlookup(L27,Products!A:A,Products!B:B,"")</f>
        <v>#NAME?</v>
      </c>
    </row>
    <row r="28" customFormat="false" ht="15" hidden="false" customHeight="false" outlineLevel="0" collapsed="false">
      <c r="A28" s="0" t="s">
        <v>242</v>
      </c>
      <c r="B28" s="0" t="s">
        <v>86</v>
      </c>
      <c r="C28" s="0" t="s">
        <v>58</v>
      </c>
      <c r="D28" s="0" t="n">
        <v>38</v>
      </c>
      <c r="E28" s="0" t="s">
        <v>36</v>
      </c>
      <c r="F28" s="0" t="s">
        <v>37</v>
      </c>
      <c r="G28" s="0" t="s">
        <v>243</v>
      </c>
      <c r="H28" s="0" t="s">
        <v>244</v>
      </c>
      <c r="I28" s="0" t="s">
        <v>245</v>
      </c>
      <c r="J28" s="4" t="n">
        <v>45747</v>
      </c>
      <c r="K28" s="0" t="s">
        <v>246</v>
      </c>
      <c r="L28" s="0" t="s">
        <v>136</v>
      </c>
      <c r="M28" s="5" t="n">
        <v>1799</v>
      </c>
      <c r="N28" s="0" t="n">
        <v>4</v>
      </c>
      <c r="O28" s="0" t="s">
        <v>43</v>
      </c>
      <c r="P28" s="0" t="n">
        <v>6</v>
      </c>
      <c r="Q28" s="5" t="n">
        <v>75</v>
      </c>
      <c r="R28" s="4" t="n">
        <v>45753</v>
      </c>
      <c r="S28" s="0" t="s">
        <v>247</v>
      </c>
      <c r="T28" s="0" t="n">
        <f aca="false">R28-J28</f>
        <v>6</v>
      </c>
      <c r="U28" s="5" t="n">
        <f aca="false">M28*N28</f>
        <v>7196</v>
      </c>
      <c r="V28" s="6" t="n">
        <f aca="false">IF(O28="FLAT5",5%,IF(O28="FLAT10",10%,IF(O28="FLAT15",15%,IF(O28="FLAT20",20%,0))))</f>
        <v>0.2</v>
      </c>
      <c r="W28" s="5" t="n">
        <f aca="false">U28*(1-V28)</f>
        <v>5756.8</v>
      </c>
      <c r="X28" s="5" t="n">
        <f aca="false">W28+IF(O28="DEL0",0,Q28)</f>
        <v>5831.8</v>
      </c>
      <c r="Y28" s="0" t="str">
        <f aca="false">B28&amp;" "&amp;C28</f>
        <v>Rahul Iyer</v>
      </c>
      <c r="Z28" s="0" t="str">
        <f aca="false">IF(T28&lt;P28,"BeforeTime",IF(T28=P28,"Intime","Late"))</f>
        <v>Intime</v>
      </c>
      <c r="AA28" s="0" t="str">
        <f aca="false">TEXT(J28,"mmm")</f>
        <v>Mar</v>
      </c>
      <c r="AB28" s="0" t="e">
        <f aca="false">xlookup(L28,Products!A:A,Products!B:B,"")</f>
        <v>#NAME?</v>
      </c>
    </row>
    <row r="29" customFormat="false" ht="15" hidden="false" customHeight="false" outlineLevel="0" collapsed="false">
      <c r="A29" s="0" t="s">
        <v>66</v>
      </c>
      <c r="B29" s="0" t="s">
        <v>94</v>
      </c>
      <c r="C29" s="0" t="s">
        <v>229</v>
      </c>
      <c r="D29" s="0" t="n">
        <v>49</v>
      </c>
      <c r="E29" s="0" t="s">
        <v>48</v>
      </c>
      <c r="F29" s="0" t="s">
        <v>248</v>
      </c>
      <c r="G29" s="0" t="s">
        <v>249</v>
      </c>
      <c r="H29" s="0" t="s">
        <v>250</v>
      </c>
      <c r="I29" s="0" t="s">
        <v>251</v>
      </c>
      <c r="J29" s="4" t="n">
        <v>45744</v>
      </c>
      <c r="K29" s="0" t="s">
        <v>252</v>
      </c>
      <c r="L29" s="0" t="s">
        <v>119</v>
      </c>
      <c r="M29" s="5" t="n">
        <v>899</v>
      </c>
      <c r="N29" s="0" t="n">
        <v>2</v>
      </c>
      <c r="O29" s="0" t="s">
        <v>101</v>
      </c>
      <c r="P29" s="0" t="n">
        <v>7</v>
      </c>
      <c r="Q29" s="5" t="n">
        <v>120</v>
      </c>
      <c r="R29" s="4" t="n">
        <v>45749</v>
      </c>
      <c r="S29" s="0" t="s">
        <v>253</v>
      </c>
      <c r="T29" s="0" t="n">
        <f aca="false">R29-J29</f>
        <v>5</v>
      </c>
      <c r="U29" s="5" t="n">
        <f aca="false">M29*N29</f>
        <v>1798</v>
      </c>
      <c r="V29" s="6" t="n">
        <f aca="false">IF(O29="FLAT5",5%,IF(O29="FLAT10",10%,IF(O29="FLAT15",15%,IF(O29="FLAT20",20%,0))))</f>
        <v>0.15</v>
      </c>
      <c r="W29" s="5" t="n">
        <f aca="false">U29*(1-V29)</f>
        <v>1528.3</v>
      </c>
      <c r="X29" s="5" t="n">
        <f aca="false">W29+IF(O29="DEL0",0,Q29)</f>
        <v>1648.3</v>
      </c>
      <c r="Y29" s="0" t="str">
        <f aca="false">B29&amp;" "&amp;C29</f>
        <v>Manoj Joshi</v>
      </c>
      <c r="Z29" s="0" t="str">
        <f aca="false">IF(T29&lt;P29,"BeforeTime",IF(T29=P29,"Intime","Late"))</f>
        <v>BeforeTime</v>
      </c>
      <c r="AA29" s="0" t="str">
        <f aca="false">TEXT(J29,"mmm")</f>
        <v>Mar</v>
      </c>
      <c r="AB29" s="0" t="e">
        <f aca="false">xlookup(L29,Products!A:A,Products!B:B,"")</f>
        <v>#NAME?</v>
      </c>
    </row>
    <row r="30" customFormat="false" ht="15" hidden="false" customHeight="false" outlineLevel="0" collapsed="false">
      <c r="A30" s="0" t="s">
        <v>254</v>
      </c>
      <c r="B30" s="0" t="s">
        <v>122</v>
      </c>
      <c r="C30" s="0" t="s">
        <v>123</v>
      </c>
      <c r="D30" s="0" t="n">
        <v>32</v>
      </c>
      <c r="E30" s="0" t="s">
        <v>36</v>
      </c>
      <c r="F30" s="0" t="s">
        <v>202</v>
      </c>
      <c r="G30" s="0" t="s">
        <v>255</v>
      </c>
      <c r="H30" s="0" t="s">
        <v>256</v>
      </c>
      <c r="I30" s="0" t="s">
        <v>257</v>
      </c>
      <c r="J30" s="4" t="n">
        <v>45970</v>
      </c>
      <c r="K30" s="0" t="s">
        <v>258</v>
      </c>
      <c r="L30" s="0" t="s">
        <v>110</v>
      </c>
      <c r="M30" s="5" t="n">
        <v>1499</v>
      </c>
      <c r="N30" s="0" t="n">
        <v>2</v>
      </c>
      <c r="O30" s="0" t="s">
        <v>259</v>
      </c>
      <c r="P30" s="0" t="n">
        <v>2</v>
      </c>
      <c r="Q30" s="5" t="n">
        <v>120</v>
      </c>
      <c r="R30" s="4" t="n">
        <v>45972</v>
      </c>
      <c r="S30" s="0" t="s">
        <v>260</v>
      </c>
      <c r="T30" s="0" t="n">
        <f aca="false">R30-J30</f>
        <v>2</v>
      </c>
      <c r="U30" s="5" t="n">
        <f aca="false">M30*N30</f>
        <v>2998</v>
      </c>
      <c r="V30" s="6" t="n">
        <f aca="false">IF(O30="FLAT5",5%,IF(O30="FLAT10",10%,IF(O30="FLAT15",15%,IF(O30="FLAT20",20%,0))))</f>
        <v>0</v>
      </c>
      <c r="W30" s="5" t="n">
        <f aca="false">U30*(1-V30)</f>
        <v>2998</v>
      </c>
      <c r="X30" s="5" t="n">
        <f aca="false">W30+IF(O30="DEL0",0,Q30)</f>
        <v>3118</v>
      </c>
      <c r="Y30" s="0" t="str">
        <f aca="false">B30&amp;" "&amp;C30</f>
        <v>Meera Nair</v>
      </c>
      <c r="Z30" s="0" t="str">
        <f aca="false">IF(T30&lt;P30,"BeforeTime",IF(T30=P30,"Intime","Late"))</f>
        <v>Intime</v>
      </c>
      <c r="AA30" s="0" t="str">
        <f aca="false">TEXT(J30,"mmm")</f>
        <v>Nov</v>
      </c>
      <c r="AB30" s="0" t="e">
        <f aca="false">xlookup(L30,Products!A:A,Products!B:B,"")</f>
        <v>#NAME?</v>
      </c>
    </row>
    <row r="31" customFormat="false" ht="15" hidden="false" customHeight="false" outlineLevel="0" collapsed="false">
      <c r="A31" s="0" t="s">
        <v>208</v>
      </c>
      <c r="B31" s="0" t="s">
        <v>139</v>
      </c>
      <c r="C31" s="0" t="s">
        <v>261</v>
      </c>
      <c r="D31" s="0" t="n">
        <v>47</v>
      </c>
      <c r="E31" s="0" t="s">
        <v>36</v>
      </c>
      <c r="F31" s="0" t="s">
        <v>262</v>
      </c>
      <c r="G31" s="0" t="s">
        <v>263</v>
      </c>
      <c r="H31" s="0" t="s">
        <v>264</v>
      </c>
      <c r="I31" s="0" t="s">
        <v>265</v>
      </c>
      <c r="J31" s="4" t="n">
        <v>45785</v>
      </c>
      <c r="K31" s="0" t="s">
        <v>266</v>
      </c>
      <c r="L31" s="0" t="s">
        <v>82</v>
      </c>
      <c r="M31" s="5" t="n">
        <v>1199</v>
      </c>
      <c r="N31" s="0" t="n">
        <v>4</v>
      </c>
      <c r="O31" s="0" t="s">
        <v>83</v>
      </c>
      <c r="P31" s="0" t="n">
        <v>2</v>
      </c>
      <c r="Q31" s="5" t="n">
        <v>75</v>
      </c>
      <c r="R31" s="4" t="n">
        <v>45787</v>
      </c>
      <c r="S31" s="0" t="s">
        <v>267</v>
      </c>
      <c r="T31" s="0" t="n">
        <f aca="false">R31-J31</f>
        <v>2</v>
      </c>
      <c r="U31" s="5" t="n">
        <f aca="false">M31*N31</f>
        <v>4796</v>
      </c>
      <c r="V31" s="6" t="n">
        <f aca="false">IF(O31="FLAT5",5%,IF(O31="FLAT10",10%,IF(O31="FLAT15",15%,IF(O31="FLAT20",20%,0))))</f>
        <v>0.05</v>
      </c>
      <c r="W31" s="5" t="n">
        <f aca="false">U31*(1-V31)</f>
        <v>4556.2</v>
      </c>
      <c r="X31" s="5" t="n">
        <f aca="false">W31+IF(O31="DEL0",0,Q31)</f>
        <v>4631.2</v>
      </c>
      <c r="Y31" s="0" t="str">
        <f aca="false">B31&amp;" "&amp;C31</f>
        <v>Aarav Kumar</v>
      </c>
      <c r="Z31" s="0" t="str">
        <f aca="false">IF(T31&lt;P31,"BeforeTime",IF(T31=P31,"Intime","Late"))</f>
        <v>Intime</v>
      </c>
      <c r="AA31" s="0" t="str">
        <f aca="false">TEXT(J31,"mmm")</f>
        <v>May</v>
      </c>
      <c r="AB31" s="0" t="e">
        <f aca="false">xlookup(L31,Products!A:A,Products!B:B,"")</f>
        <v>#NAME?</v>
      </c>
    </row>
    <row r="32" customFormat="false" ht="15" hidden="false" customHeight="false" outlineLevel="0" collapsed="false">
      <c r="A32" s="0" t="s">
        <v>268</v>
      </c>
      <c r="B32" s="0" t="s">
        <v>269</v>
      </c>
      <c r="C32" s="0" t="s">
        <v>95</v>
      </c>
      <c r="D32" s="0" t="n">
        <v>55</v>
      </c>
      <c r="E32" s="0" t="s">
        <v>48</v>
      </c>
      <c r="F32" s="0" t="s">
        <v>262</v>
      </c>
      <c r="G32" s="0" t="s">
        <v>270</v>
      </c>
      <c r="H32" s="0" t="s">
        <v>271</v>
      </c>
      <c r="I32" s="0" t="s">
        <v>272</v>
      </c>
      <c r="J32" s="4" t="n">
        <v>45784</v>
      </c>
      <c r="K32" s="0" t="s">
        <v>273</v>
      </c>
      <c r="L32" s="0" t="s">
        <v>82</v>
      </c>
      <c r="M32" s="5" t="n">
        <v>1199</v>
      </c>
      <c r="N32" s="0" t="n">
        <v>4</v>
      </c>
      <c r="O32" s="0" t="s">
        <v>101</v>
      </c>
      <c r="P32" s="0" t="n">
        <v>7</v>
      </c>
      <c r="Q32" s="5" t="n">
        <v>90</v>
      </c>
      <c r="R32" s="4" t="n">
        <v>45791</v>
      </c>
      <c r="S32" s="0" t="s">
        <v>274</v>
      </c>
      <c r="T32" s="0" t="n">
        <f aca="false">R32-J32</f>
        <v>7</v>
      </c>
      <c r="U32" s="5" t="n">
        <f aca="false">M32*N32</f>
        <v>4796</v>
      </c>
      <c r="V32" s="6" t="n">
        <f aca="false">IF(O32="FLAT5",5%,IF(O32="FLAT10",10%,IF(O32="FLAT15",15%,IF(O32="FLAT20",20%,0))))</f>
        <v>0.15</v>
      </c>
      <c r="W32" s="5" t="n">
        <f aca="false">U32*(1-V32)</f>
        <v>4076.6</v>
      </c>
      <c r="X32" s="5" t="n">
        <f aca="false">W32+IF(O32="DEL0",0,Q32)</f>
        <v>4166.6</v>
      </c>
      <c r="Y32" s="0" t="str">
        <f aca="false">B32&amp;" "&amp;C32</f>
        <v>Varun Mishra</v>
      </c>
      <c r="Z32" s="0" t="str">
        <f aca="false">IF(T32&lt;P32,"BeforeTime",IF(T32=P32,"Intime","Late"))</f>
        <v>Intime</v>
      </c>
      <c r="AA32" s="0" t="str">
        <f aca="false">TEXT(J32,"mmm")</f>
        <v>May</v>
      </c>
      <c r="AB32" s="0" t="e">
        <f aca="false">xlookup(L32,Products!A:A,Products!B:B,"")</f>
        <v>#NAME?</v>
      </c>
    </row>
    <row r="33" customFormat="false" ht="15" hidden="false" customHeight="false" outlineLevel="0" collapsed="false">
      <c r="A33" s="0" t="s">
        <v>275</v>
      </c>
      <c r="B33" s="0" t="s">
        <v>122</v>
      </c>
      <c r="C33" s="0" t="s">
        <v>123</v>
      </c>
      <c r="D33" s="0" t="n">
        <v>37</v>
      </c>
      <c r="E33" s="0" t="s">
        <v>48</v>
      </c>
      <c r="F33" s="0" t="s">
        <v>59</v>
      </c>
      <c r="G33" s="0" t="s">
        <v>276</v>
      </c>
      <c r="H33" s="0" t="s">
        <v>277</v>
      </c>
      <c r="I33" s="0" t="s">
        <v>278</v>
      </c>
      <c r="J33" s="4" t="n">
        <v>45776</v>
      </c>
      <c r="K33" s="0" t="s">
        <v>279</v>
      </c>
      <c r="L33" s="0" t="s">
        <v>240</v>
      </c>
      <c r="M33" s="5" t="n">
        <v>4999</v>
      </c>
      <c r="N33" s="0" t="n">
        <v>1</v>
      </c>
      <c r="O33" s="0" t="s">
        <v>83</v>
      </c>
      <c r="P33" s="0" t="n">
        <v>5</v>
      </c>
      <c r="Q33" s="5" t="n">
        <v>120</v>
      </c>
      <c r="R33" s="4" t="n">
        <v>45781</v>
      </c>
      <c r="S33" s="0" t="s">
        <v>280</v>
      </c>
      <c r="T33" s="0" t="n">
        <f aca="false">R33-J33</f>
        <v>5</v>
      </c>
      <c r="U33" s="5" t="n">
        <f aca="false">M33*N33</f>
        <v>4999</v>
      </c>
      <c r="V33" s="6" t="n">
        <f aca="false">IF(O33="FLAT5",5%,IF(O33="FLAT10",10%,IF(O33="FLAT15",15%,IF(O33="FLAT20",20%,0))))</f>
        <v>0.05</v>
      </c>
      <c r="W33" s="5" t="n">
        <f aca="false">U33*(1-V33)</f>
        <v>4749.05</v>
      </c>
      <c r="X33" s="5" t="n">
        <f aca="false">W33+IF(O33="DEL0",0,Q33)</f>
        <v>4869.05</v>
      </c>
      <c r="Y33" s="0" t="str">
        <f aca="false">B33&amp;" "&amp;C33</f>
        <v>Meera Nair</v>
      </c>
      <c r="Z33" s="0" t="str">
        <f aca="false">IF(T33&lt;P33,"BeforeTime",IF(T33=P33,"Intime","Late"))</f>
        <v>Intime</v>
      </c>
      <c r="AA33" s="0" t="str">
        <f aca="false">TEXT(J33,"mmm")</f>
        <v>Apr</v>
      </c>
      <c r="AB33" s="0" t="e">
        <f aca="false">xlookup(L33,Products!A:A,Products!B:B,"")</f>
        <v>#NAME?</v>
      </c>
    </row>
    <row r="34" customFormat="false" ht="15" hidden="false" customHeight="false" outlineLevel="0" collapsed="false">
      <c r="A34" s="0" t="s">
        <v>281</v>
      </c>
      <c r="B34" s="0" t="s">
        <v>282</v>
      </c>
      <c r="C34" s="0" t="s">
        <v>210</v>
      </c>
      <c r="D34" s="0" t="n">
        <v>33</v>
      </c>
      <c r="E34" s="0" t="s">
        <v>48</v>
      </c>
      <c r="F34" s="0" t="s">
        <v>160</v>
      </c>
      <c r="G34" s="0" t="s">
        <v>283</v>
      </c>
      <c r="H34" s="0" t="s">
        <v>284</v>
      </c>
      <c r="I34" s="0" t="s">
        <v>285</v>
      </c>
      <c r="J34" s="4" t="n">
        <v>45952</v>
      </c>
      <c r="K34" s="0" t="s">
        <v>286</v>
      </c>
      <c r="L34" s="0" t="s">
        <v>64</v>
      </c>
      <c r="M34" s="5" t="n">
        <v>2799</v>
      </c>
      <c r="N34" s="0" t="n">
        <v>1</v>
      </c>
      <c r="O34" s="0" t="s">
        <v>54</v>
      </c>
      <c r="P34" s="0" t="n">
        <v>5</v>
      </c>
      <c r="Q34" s="5" t="n">
        <v>0</v>
      </c>
      <c r="R34" s="4" t="n">
        <v>45957</v>
      </c>
      <c r="S34" s="0" t="s">
        <v>287</v>
      </c>
      <c r="T34" s="0" t="n">
        <f aca="false">R34-J34</f>
        <v>5</v>
      </c>
      <c r="U34" s="5" t="n">
        <f aca="false">M34*N34</f>
        <v>2799</v>
      </c>
      <c r="V34" s="6" t="n">
        <f aca="false">IF(O34="FLAT5",5%,IF(O34="FLAT10",10%,IF(O34="FLAT15",15%,IF(O34="FLAT20",20%,0))))</f>
        <v>0</v>
      </c>
      <c r="W34" s="5" t="n">
        <f aca="false">U34*(1-V34)</f>
        <v>2799</v>
      </c>
      <c r="X34" s="5" t="n">
        <f aca="false">W34+IF(O34="DEL0",0,Q34)</f>
        <v>2799</v>
      </c>
      <c r="Y34" s="0" t="str">
        <f aca="false">B34&amp;" "&amp;C34</f>
        <v>Nisha Reddy</v>
      </c>
      <c r="Z34" s="0" t="str">
        <f aca="false">IF(T34&lt;P34,"BeforeTime",IF(T34=P34,"Intime","Late"))</f>
        <v>Intime</v>
      </c>
      <c r="AA34" s="0" t="str">
        <f aca="false">TEXT(J34,"mmm")</f>
        <v>Oct</v>
      </c>
      <c r="AB34" s="0" t="e">
        <f aca="false">xlookup(L34,Products!A:A,Products!B:B,"")</f>
        <v>#NAME?</v>
      </c>
    </row>
    <row r="35" customFormat="false" ht="15" hidden="false" customHeight="false" outlineLevel="0" collapsed="false">
      <c r="A35" s="0" t="s">
        <v>288</v>
      </c>
      <c r="B35" s="0" t="s">
        <v>46</v>
      </c>
      <c r="C35" s="0" t="s">
        <v>123</v>
      </c>
      <c r="D35" s="0" t="n">
        <v>51</v>
      </c>
      <c r="E35" s="0" t="s">
        <v>36</v>
      </c>
      <c r="F35" s="0" t="s">
        <v>114</v>
      </c>
      <c r="G35" s="0" t="s">
        <v>289</v>
      </c>
      <c r="H35" s="0" t="s">
        <v>290</v>
      </c>
      <c r="I35" s="0" t="s">
        <v>291</v>
      </c>
      <c r="J35" s="4" t="n">
        <v>45830</v>
      </c>
      <c r="K35" s="0" t="s">
        <v>292</v>
      </c>
      <c r="L35" s="0" t="s">
        <v>136</v>
      </c>
      <c r="M35" s="5" t="n">
        <v>1799</v>
      </c>
      <c r="N35" s="0" t="n">
        <v>4</v>
      </c>
      <c r="O35" s="0" t="s">
        <v>83</v>
      </c>
      <c r="P35" s="0" t="n">
        <v>7</v>
      </c>
      <c r="Q35" s="5" t="n">
        <v>75</v>
      </c>
      <c r="R35" s="4" t="n">
        <v>45837</v>
      </c>
      <c r="S35" s="0" t="s">
        <v>293</v>
      </c>
      <c r="T35" s="0" t="n">
        <f aca="false">R35-J35</f>
        <v>7</v>
      </c>
      <c r="U35" s="5" t="n">
        <f aca="false">M35*N35</f>
        <v>7196</v>
      </c>
      <c r="V35" s="6" t="n">
        <f aca="false">IF(O35="FLAT5",5%,IF(O35="FLAT10",10%,IF(O35="FLAT15",15%,IF(O35="FLAT20",20%,0))))</f>
        <v>0.05</v>
      </c>
      <c r="W35" s="5" t="n">
        <f aca="false">U35*(1-V35)</f>
        <v>6836.2</v>
      </c>
      <c r="X35" s="5" t="n">
        <f aca="false">W35+IF(O35="DEL0",0,Q35)</f>
        <v>6911.2</v>
      </c>
      <c r="Y35" s="0" t="str">
        <f aca="false">B35&amp;" "&amp;C35</f>
        <v>Sanjana Nair</v>
      </c>
      <c r="Z35" s="0" t="str">
        <f aca="false">IF(T35&lt;P35,"BeforeTime",IF(T35=P35,"Intime","Late"))</f>
        <v>Intime</v>
      </c>
      <c r="AA35" s="0" t="str">
        <f aca="false">TEXT(J35,"mmm")</f>
        <v>Jun</v>
      </c>
      <c r="AB35" s="0" t="e">
        <f aca="false">xlookup(L35,Products!A:A,Products!B:B,"")</f>
        <v>#NAME?</v>
      </c>
    </row>
    <row r="36" customFormat="false" ht="15" hidden="false" customHeight="false" outlineLevel="0" collapsed="false">
      <c r="A36" s="0" t="s">
        <v>131</v>
      </c>
      <c r="B36" s="0" t="s">
        <v>294</v>
      </c>
      <c r="C36" s="0" t="s">
        <v>35</v>
      </c>
      <c r="D36" s="0" t="n">
        <v>25</v>
      </c>
      <c r="E36" s="0" t="s">
        <v>48</v>
      </c>
      <c r="F36" s="0" t="s">
        <v>262</v>
      </c>
      <c r="G36" s="0" t="s">
        <v>295</v>
      </c>
      <c r="H36" s="0" t="s">
        <v>296</v>
      </c>
      <c r="I36" s="0" t="s">
        <v>297</v>
      </c>
      <c r="J36" s="4" t="n">
        <v>45852</v>
      </c>
      <c r="K36" s="0" t="s">
        <v>298</v>
      </c>
      <c r="L36" s="0" t="s">
        <v>53</v>
      </c>
      <c r="M36" s="5" t="n">
        <v>2499</v>
      </c>
      <c r="N36" s="0" t="n">
        <v>2</v>
      </c>
      <c r="O36" s="0" t="s">
        <v>83</v>
      </c>
      <c r="P36" s="0" t="n">
        <v>4</v>
      </c>
      <c r="Q36" s="5" t="n">
        <v>60</v>
      </c>
      <c r="R36" s="4" t="n">
        <v>45856</v>
      </c>
      <c r="S36" s="0" t="s">
        <v>299</v>
      </c>
      <c r="T36" s="0" t="n">
        <f aca="false">R36-J36</f>
        <v>4</v>
      </c>
      <c r="U36" s="5" t="n">
        <f aca="false">M36*N36</f>
        <v>4998</v>
      </c>
      <c r="V36" s="6" t="n">
        <f aca="false">IF(O36="FLAT5",5%,IF(O36="FLAT10",10%,IF(O36="FLAT15",15%,IF(O36="FLAT20",20%,0))))</f>
        <v>0.05</v>
      </c>
      <c r="W36" s="5" t="n">
        <f aca="false">U36*(1-V36)</f>
        <v>4748.1</v>
      </c>
      <c r="X36" s="5" t="n">
        <f aca="false">W36+IF(O36="DEL0",0,Q36)</f>
        <v>4808.1</v>
      </c>
      <c r="Y36" s="0" t="str">
        <f aca="false">B36&amp;" "&amp;C36</f>
        <v>Aditya Sharma</v>
      </c>
      <c r="Z36" s="0" t="str">
        <f aca="false">IF(T36&lt;P36,"BeforeTime",IF(T36=P36,"Intime","Late"))</f>
        <v>Intime</v>
      </c>
      <c r="AA36" s="0" t="str">
        <f aca="false">TEXT(J36,"mmm")</f>
        <v>Jul</v>
      </c>
      <c r="AB36" s="0" t="e">
        <f aca="false">xlookup(L36,Products!A:A,Products!B:B,"")</f>
        <v>#NAME?</v>
      </c>
    </row>
    <row r="37" customFormat="false" ht="15" hidden="false" customHeight="false" outlineLevel="0" collapsed="false">
      <c r="A37" s="0" t="s">
        <v>300</v>
      </c>
      <c r="B37" s="0" t="s">
        <v>57</v>
      </c>
      <c r="C37" s="0" t="s">
        <v>167</v>
      </c>
      <c r="D37" s="0" t="n">
        <v>21</v>
      </c>
      <c r="E37" s="0" t="s">
        <v>36</v>
      </c>
      <c r="F37" s="0" t="s">
        <v>59</v>
      </c>
      <c r="G37" s="0" t="s">
        <v>301</v>
      </c>
      <c r="H37" s="0" t="s">
        <v>133</v>
      </c>
      <c r="I37" s="0" t="s">
        <v>302</v>
      </c>
      <c r="J37" s="4" t="n">
        <v>45991</v>
      </c>
      <c r="K37" s="0" t="s">
        <v>303</v>
      </c>
      <c r="L37" s="0" t="s">
        <v>100</v>
      </c>
      <c r="M37" s="5" t="n">
        <v>999</v>
      </c>
      <c r="N37" s="0" t="n">
        <v>1</v>
      </c>
      <c r="O37" s="0" t="s">
        <v>54</v>
      </c>
      <c r="P37" s="0" t="n">
        <v>2</v>
      </c>
      <c r="Q37" s="5" t="n">
        <v>0</v>
      </c>
      <c r="R37" s="4" t="n">
        <v>45995</v>
      </c>
      <c r="S37" s="0" t="s">
        <v>304</v>
      </c>
      <c r="T37" s="0" t="n">
        <f aca="false">R37-J37</f>
        <v>4</v>
      </c>
      <c r="U37" s="5" t="n">
        <f aca="false">M37*N37</f>
        <v>999</v>
      </c>
      <c r="V37" s="6" t="n">
        <f aca="false">IF(O37="FLAT5",5%,IF(O37="FLAT10",10%,IF(O37="FLAT15",15%,IF(O37="FLAT20",20%,0))))</f>
        <v>0</v>
      </c>
      <c r="W37" s="5" t="n">
        <f aca="false">U37*(1-V37)</f>
        <v>999</v>
      </c>
      <c r="X37" s="5" t="n">
        <f aca="false">W37+IF(O37="DEL0",0,Q37)</f>
        <v>999</v>
      </c>
      <c r="Y37" s="0" t="str">
        <f aca="false">B37&amp;" "&amp;C37</f>
        <v>Arjun Chowdhury</v>
      </c>
      <c r="Z37" s="0" t="str">
        <f aca="false">IF(T37&lt;P37,"BeforeTime",IF(T37=P37,"Intime","Late"))</f>
        <v>Late</v>
      </c>
      <c r="AA37" s="0" t="str">
        <f aca="false">TEXT(J37,"mmm")</f>
        <v>Nov</v>
      </c>
      <c r="AB37" s="0" t="e">
        <f aca="false">xlookup(L37,Products!A:A,Products!B:B,"")</f>
        <v>#NAME?</v>
      </c>
    </row>
    <row r="38" customFormat="false" ht="15" hidden="false" customHeight="false" outlineLevel="0" collapsed="false">
      <c r="A38" s="0" t="s">
        <v>305</v>
      </c>
      <c r="B38" s="0" t="s">
        <v>34</v>
      </c>
      <c r="C38" s="0" t="s">
        <v>47</v>
      </c>
      <c r="D38" s="0" t="n">
        <v>49</v>
      </c>
      <c r="E38" s="0" t="s">
        <v>48</v>
      </c>
      <c r="F38" s="0" t="s">
        <v>59</v>
      </c>
      <c r="G38" s="0" t="s">
        <v>306</v>
      </c>
      <c r="H38" s="0" t="s">
        <v>307</v>
      </c>
      <c r="I38" s="0" t="s">
        <v>308</v>
      </c>
      <c r="J38" s="4" t="n">
        <v>45741</v>
      </c>
      <c r="K38" s="0" t="s">
        <v>309</v>
      </c>
      <c r="L38" s="0" t="s">
        <v>42</v>
      </c>
      <c r="M38" s="5" t="n">
        <v>2199</v>
      </c>
      <c r="N38" s="0" t="n">
        <v>1</v>
      </c>
      <c r="O38" s="0" t="s">
        <v>54</v>
      </c>
      <c r="P38" s="0" t="n">
        <v>4</v>
      </c>
      <c r="Q38" s="5" t="n">
        <v>0</v>
      </c>
      <c r="R38" s="4" t="n">
        <v>45742</v>
      </c>
      <c r="S38" s="0" t="s">
        <v>258</v>
      </c>
      <c r="T38" s="0" t="n">
        <f aca="false">R38-J38</f>
        <v>1</v>
      </c>
      <c r="U38" s="5" t="n">
        <f aca="false">M38*N38</f>
        <v>2199</v>
      </c>
      <c r="V38" s="6" t="n">
        <f aca="false">IF(O38="FLAT5",5%,IF(O38="FLAT10",10%,IF(O38="FLAT15",15%,IF(O38="FLAT20",20%,0))))</f>
        <v>0</v>
      </c>
      <c r="W38" s="5" t="n">
        <f aca="false">U38*(1-V38)</f>
        <v>2199</v>
      </c>
      <c r="X38" s="5" t="n">
        <f aca="false">W38+IF(O38="DEL0",0,Q38)</f>
        <v>2199</v>
      </c>
      <c r="Y38" s="0" t="str">
        <f aca="false">B38&amp;" "&amp;C38</f>
        <v>Diya Verma</v>
      </c>
      <c r="Z38" s="0" t="str">
        <f aca="false">IF(T38&lt;P38,"BeforeTime",IF(T38=P38,"Intime","Late"))</f>
        <v>BeforeTime</v>
      </c>
      <c r="AA38" s="0" t="str">
        <f aca="false">TEXT(J38,"mmm")</f>
        <v>Mar</v>
      </c>
      <c r="AB38" s="0" t="e">
        <f aca="false">xlookup(L38,Products!A:A,Products!B:B,"")</f>
        <v>#NAME?</v>
      </c>
    </row>
    <row r="39" customFormat="false" ht="15" hidden="false" customHeight="false" outlineLevel="0" collapsed="false">
      <c r="A39" s="0" t="s">
        <v>310</v>
      </c>
      <c r="B39" s="0" t="s">
        <v>188</v>
      </c>
      <c r="C39" s="0" t="s">
        <v>76</v>
      </c>
      <c r="D39" s="0" t="n">
        <v>57</v>
      </c>
      <c r="E39" s="0" t="s">
        <v>36</v>
      </c>
      <c r="F39" s="0" t="s">
        <v>140</v>
      </c>
      <c r="G39" s="0" t="s">
        <v>311</v>
      </c>
      <c r="H39" s="0" t="s">
        <v>312</v>
      </c>
      <c r="I39" s="0" t="s">
        <v>313</v>
      </c>
      <c r="J39" s="4" t="n">
        <v>45965</v>
      </c>
      <c r="K39" s="0" t="s">
        <v>314</v>
      </c>
      <c r="L39" s="0" t="s">
        <v>82</v>
      </c>
      <c r="M39" s="5" t="n">
        <v>1199</v>
      </c>
      <c r="N39" s="0" t="n">
        <v>3</v>
      </c>
      <c r="O39" s="0" t="s">
        <v>54</v>
      </c>
      <c r="P39" s="0" t="n">
        <v>2</v>
      </c>
      <c r="Q39" s="5" t="n">
        <v>0</v>
      </c>
      <c r="R39" s="4" t="n">
        <v>45968</v>
      </c>
      <c r="S39" s="0" t="s">
        <v>315</v>
      </c>
      <c r="T39" s="0" t="n">
        <f aca="false">R39-J39</f>
        <v>3</v>
      </c>
      <c r="U39" s="5" t="n">
        <f aca="false">M39*N39</f>
        <v>3597</v>
      </c>
      <c r="V39" s="6" t="n">
        <f aca="false">IF(O39="FLAT5",5%,IF(O39="FLAT10",10%,IF(O39="FLAT15",15%,IF(O39="FLAT20",20%,0))))</f>
        <v>0</v>
      </c>
      <c r="W39" s="5" t="n">
        <f aca="false">U39*(1-V39)</f>
        <v>3597</v>
      </c>
      <c r="X39" s="5" t="n">
        <f aca="false">W39+IF(O39="DEL0",0,Q39)</f>
        <v>3597</v>
      </c>
      <c r="Y39" s="0" t="str">
        <f aca="false">B39&amp;" "&amp;C39</f>
        <v>Rohan Patel</v>
      </c>
      <c r="Z39" s="0" t="str">
        <f aca="false">IF(T39&lt;P39,"BeforeTime",IF(T39=P39,"Intime","Late"))</f>
        <v>Late</v>
      </c>
      <c r="AA39" s="0" t="str">
        <f aca="false">TEXT(J39,"mmm")</f>
        <v>Nov</v>
      </c>
      <c r="AB39" s="0" t="e">
        <f aca="false">xlookup(L39,Products!A:A,Products!B:B,"")</f>
        <v>#NAME?</v>
      </c>
    </row>
    <row r="40" customFormat="false" ht="15" hidden="false" customHeight="false" outlineLevel="0" collapsed="false">
      <c r="A40" s="0" t="s">
        <v>316</v>
      </c>
      <c r="B40" s="0" t="s">
        <v>86</v>
      </c>
      <c r="C40" s="0" t="s">
        <v>35</v>
      </c>
      <c r="D40" s="0" t="n">
        <v>46</v>
      </c>
      <c r="E40" s="0" t="s">
        <v>48</v>
      </c>
      <c r="F40" s="0" t="s">
        <v>140</v>
      </c>
      <c r="G40" s="0" t="s">
        <v>317</v>
      </c>
      <c r="H40" s="0" t="s">
        <v>318</v>
      </c>
      <c r="I40" s="0" t="s">
        <v>319</v>
      </c>
      <c r="J40" s="4" t="n">
        <v>45893</v>
      </c>
      <c r="K40" s="0" t="s">
        <v>320</v>
      </c>
      <c r="L40" s="0" t="s">
        <v>136</v>
      </c>
      <c r="M40" s="5" t="n">
        <v>1799</v>
      </c>
      <c r="N40" s="0" t="n">
        <v>3</v>
      </c>
      <c r="O40" s="0" t="s">
        <v>43</v>
      </c>
      <c r="P40" s="0" t="n">
        <v>7</v>
      </c>
      <c r="Q40" s="5" t="n">
        <v>120</v>
      </c>
      <c r="R40" s="4" t="n">
        <v>45895</v>
      </c>
      <c r="S40" s="0" t="s">
        <v>321</v>
      </c>
      <c r="T40" s="0" t="n">
        <f aca="false">R40-J40</f>
        <v>2</v>
      </c>
      <c r="U40" s="5" t="n">
        <f aca="false">M40*N40</f>
        <v>5397</v>
      </c>
      <c r="V40" s="6" t="n">
        <f aca="false">IF(O40="FLAT5",5%,IF(O40="FLAT10",10%,IF(O40="FLAT15",15%,IF(O40="FLAT20",20%,0))))</f>
        <v>0.2</v>
      </c>
      <c r="W40" s="5" t="n">
        <f aca="false">U40*(1-V40)</f>
        <v>4317.6</v>
      </c>
      <c r="X40" s="5" t="n">
        <f aca="false">W40+IF(O40="DEL0",0,Q40)</f>
        <v>4437.6</v>
      </c>
      <c r="Y40" s="0" t="str">
        <f aca="false">B40&amp;" "&amp;C40</f>
        <v>Rahul Sharma</v>
      </c>
      <c r="Z40" s="0" t="str">
        <f aca="false">IF(T40&lt;P40,"BeforeTime",IF(T40=P40,"Intime","Late"))</f>
        <v>BeforeTime</v>
      </c>
      <c r="AA40" s="0" t="str">
        <f aca="false">TEXT(J40,"mmm")</f>
        <v>Aug</v>
      </c>
      <c r="AB40" s="0" t="e">
        <f aca="false">xlookup(L40,Products!A:A,Products!B:B,"")</f>
        <v>#NAME?</v>
      </c>
    </row>
    <row r="41" customFormat="false" ht="15" hidden="false" customHeight="false" outlineLevel="0" collapsed="false">
      <c r="A41" s="0" t="s">
        <v>33</v>
      </c>
      <c r="B41" s="0" t="s">
        <v>147</v>
      </c>
      <c r="C41" s="0" t="s">
        <v>105</v>
      </c>
      <c r="D41" s="0" t="n">
        <v>47</v>
      </c>
      <c r="E41" s="0" t="s">
        <v>48</v>
      </c>
      <c r="F41" s="0" t="s">
        <v>59</v>
      </c>
      <c r="G41" s="0" t="s">
        <v>322</v>
      </c>
      <c r="H41" s="0" t="s">
        <v>323</v>
      </c>
      <c r="I41" s="0" t="s">
        <v>324</v>
      </c>
      <c r="J41" s="4" t="n">
        <v>45888</v>
      </c>
      <c r="K41" s="0" t="s">
        <v>325</v>
      </c>
      <c r="L41" s="0" t="s">
        <v>100</v>
      </c>
      <c r="M41" s="5" t="n">
        <v>999</v>
      </c>
      <c r="N41" s="0" t="n">
        <v>1</v>
      </c>
      <c r="O41" s="0" t="s">
        <v>91</v>
      </c>
      <c r="P41" s="0" t="n">
        <v>3</v>
      </c>
      <c r="Q41" s="5" t="n">
        <v>60</v>
      </c>
      <c r="R41" s="4" t="n">
        <v>45895</v>
      </c>
      <c r="S41" s="0" t="s">
        <v>326</v>
      </c>
      <c r="T41" s="0" t="n">
        <f aca="false">R41-J41</f>
        <v>7</v>
      </c>
      <c r="U41" s="5" t="n">
        <f aca="false">M41*N41</f>
        <v>999</v>
      </c>
      <c r="V41" s="6" t="n">
        <f aca="false">IF(O41="FLAT5",5%,IF(O41="FLAT10",10%,IF(O41="FLAT15",15%,IF(O41="FLAT20",20%,0))))</f>
        <v>0.1</v>
      </c>
      <c r="W41" s="5" t="n">
        <f aca="false">U41*(1-V41)</f>
        <v>899.1</v>
      </c>
      <c r="X41" s="5" t="n">
        <f aca="false">W41+IF(O41="DEL0",0,Q41)</f>
        <v>959.1</v>
      </c>
      <c r="Y41" s="0" t="str">
        <f aca="false">B41&amp;" "&amp;C41</f>
        <v>Pooja Bhat</v>
      </c>
      <c r="Z41" s="0" t="str">
        <f aca="false">IF(T41&lt;P41,"BeforeTime",IF(T41=P41,"Intime","Late"))</f>
        <v>Late</v>
      </c>
      <c r="AA41" s="0" t="str">
        <f aca="false">TEXT(J41,"mmm")</f>
        <v>Aug</v>
      </c>
      <c r="AB41" s="0" t="e">
        <f aca="false">xlookup(L41,Products!A:A,Products!B:B,"")</f>
        <v>#NAME?</v>
      </c>
    </row>
    <row r="42" customFormat="false" ht="15" hidden="false" customHeight="false" outlineLevel="0" collapsed="false">
      <c r="A42" s="0" t="s">
        <v>327</v>
      </c>
      <c r="B42" s="0" t="s">
        <v>75</v>
      </c>
      <c r="C42" s="0" t="s">
        <v>229</v>
      </c>
      <c r="D42" s="0" t="n">
        <v>37</v>
      </c>
      <c r="E42" s="0" t="s">
        <v>48</v>
      </c>
      <c r="F42" s="0" t="s">
        <v>77</v>
      </c>
      <c r="G42" s="0" t="s">
        <v>328</v>
      </c>
      <c r="H42" s="0" t="s">
        <v>329</v>
      </c>
      <c r="I42" s="0" t="s">
        <v>330</v>
      </c>
      <c r="J42" s="4" t="n">
        <v>45866</v>
      </c>
      <c r="K42" s="0" t="s">
        <v>247</v>
      </c>
      <c r="L42" s="0" t="s">
        <v>110</v>
      </c>
      <c r="M42" s="5" t="n">
        <v>1499</v>
      </c>
      <c r="N42" s="0" t="n">
        <v>2</v>
      </c>
      <c r="O42" s="0" t="s">
        <v>83</v>
      </c>
      <c r="P42" s="0" t="n">
        <v>5</v>
      </c>
      <c r="Q42" s="5" t="n">
        <v>50</v>
      </c>
      <c r="R42" s="4" t="n">
        <v>45871</v>
      </c>
      <c r="S42" s="0" t="s">
        <v>331</v>
      </c>
      <c r="T42" s="0" t="n">
        <f aca="false">R42-J42</f>
        <v>5</v>
      </c>
      <c r="U42" s="5" t="n">
        <f aca="false">M42*N42</f>
        <v>2998</v>
      </c>
      <c r="V42" s="6" t="n">
        <f aca="false">IF(O42="FLAT5",5%,IF(O42="FLAT10",10%,IF(O42="FLAT15",15%,IF(O42="FLAT20",20%,0))))</f>
        <v>0.05</v>
      </c>
      <c r="W42" s="5" t="n">
        <f aca="false">U42*(1-V42)</f>
        <v>2848.1</v>
      </c>
      <c r="X42" s="5" t="n">
        <f aca="false">W42+IF(O42="DEL0",0,Q42)</f>
        <v>2898.1</v>
      </c>
      <c r="Y42" s="0" t="str">
        <f aca="false">B42&amp;" "&amp;C42</f>
        <v>Vikram Joshi</v>
      </c>
      <c r="Z42" s="0" t="str">
        <f aca="false">IF(T42&lt;P42,"BeforeTime",IF(T42=P42,"Intime","Late"))</f>
        <v>Intime</v>
      </c>
      <c r="AA42" s="0" t="str">
        <f aca="false">TEXT(J42,"mmm")</f>
        <v>Jul</v>
      </c>
      <c r="AB42" s="0" t="e">
        <f aca="false">xlookup(L42,Products!A:A,Products!B:B,"")</f>
        <v>#NAME?</v>
      </c>
    </row>
    <row r="43" customFormat="false" ht="15" hidden="false" customHeight="false" outlineLevel="0" collapsed="false">
      <c r="A43" s="0" t="s">
        <v>242</v>
      </c>
      <c r="B43" s="0" t="s">
        <v>122</v>
      </c>
      <c r="C43" s="0" t="s">
        <v>123</v>
      </c>
      <c r="D43" s="0" t="n">
        <v>45</v>
      </c>
      <c r="E43" s="0" t="s">
        <v>36</v>
      </c>
      <c r="F43" s="0" t="s">
        <v>114</v>
      </c>
      <c r="G43" s="0" t="s">
        <v>332</v>
      </c>
      <c r="H43" s="0" t="s">
        <v>333</v>
      </c>
      <c r="I43" s="0" t="s">
        <v>334</v>
      </c>
      <c r="J43" s="4" t="n">
        <v>45929</v>
      </c>
      <c r="K43" s="0" t="s">
        <v>335</v>
      </c>
      <c r="L43" s="0" t="s">
        <v>119</v>
      </c>
      <c r="M43" s="5" t="n">
        <v>899</v>
      </c>
      <c r="N43" s="0" t="n">
        <v>3</v>
      </c>
      <c r="O43" s="0" t="s">
        <v>101</v>
      </c>
      <c r="P43" s="0" t="n">
        <v>4</v>
      </c>
      <c r="Q43" s="5" t="n">
        <v>120</v>
      </c>
      <c r="R43" s="4" t="n">
        <v>45933</v>
      </c>
      <c r="S43" s="0" t="s">
        <v>336</v>
      </c>
      <c r="T43" s="0" t="n">
        <f aca="false">R43-J43</f>
        <v>4</v>
      </c>
      <c r="U43" s="5" t="n">
        <f aca="false">M43*N43</f>
        <v>2697</v>
      </c>
      <c r="V43" s="6" t="n">
        <f aca="false">IF(O43="FLAT5",5%,IF(O43="FLAT10",10%,IF(O43="FLAT15",15%,IF(O43="FLAT20",20%,0))))</f>
        <v>0.15</v>
      </c>
      <c r="W43" s="5" t="n">
        <f aca="false">U43*(1-V43)</f>
        <v>2292.45</v>
      </c>
      <c r="X43" s="5" t="n">
        <f aca="false">W43+IF(O43="DEL0",0,Q43)</f>
        <v>2412.45</v>
      </c>
      <c r="Y43" s="0" t="str">
        <f aca="false">B43&amp;" "&amp;C43</f>
        <v>Meera Nair</v>
      </c>
      <c r="Z43" s="0" t="str">
        <f aca="false">IF(T43&lt;P43,"BeforeTime",IF(T43=P43,"Intime","Late"))</f>
        <v>Intime</v>
      </c>
      <c r="AA43" s="0" t="str">
        <f aca="false">TEXT(J43,"mmm")</f>
        <v>Sep</v>
      </c>
      <c r="AB43" s="0" t="e">
        <f aca="false">xlookup(L43,Products!A:A,Products!B:B,"")</f>
        <v>#NAME?</v>
      </c>
    </row>
    <row r="44" customFormat="false" ht="15" hidden="false" customHeight="false" outlineLevel="0" collapsed="false">
      <c r="A44" s="0" t="s">
        <v>337</v>
      </c>
      <c r="B44" s="0" t="s">
        <v>75</v>
      </c>
      <c r="C44" s="0" t="s">
        <v>123</v>
      </c>
      <c r="D44" s="0" t="n">
        <v>27</v>
      </c>
      <c r="E44" s="0" t="s">
        <v>36</v>
      </c>
      <c r="F44" s="0" t="s">
        <v>59</v>
      </c>
      <c r="G44" s="0" t="s">
        <v>338</v>
      </c>
      <c r="H44" s="0" t="s">
        <v>339</v>
      </c>
      <c r="I44" s="0" t="s">
        <v>340</v>
      </c>
      <c r="J44" s="4" t="n">
        <v>45905</v>
      </c>
      <c r="K44" s="0" t="s">
        <v>341</v>
      </c>
      <c r="L44" s="0" t="s">
        <v>129</v>
      </c>
      <c r="M44" s="5" t="n">
        <v>2999</v>
      </c>
      <c r="N44" s="0" t="n">
        <v>2</v>
      </c>
      <c r="O44" s="0" t="s">
        <v>91</v>
      </c>
      <c r="P44" s="0" t="n">
        <v>4</v>
      </c>
      <c r="Q44" s="5" t="n">
        <v>90</v>
      </c>
      <c r="R44" s="4" t="n">
        <v>45909</v>
      </c>
      <c r="S44" s="0" t="s">
        <v>342</v>
      </c>
      <c r="T44" s="0" t="n">
        <f aca="false">R44-J44</f>
        <v>4</v>
      </c>
      <c r="U44" s="5" t="n">
        <f aca="false">M44*N44</f>
        <v>5998</v>
      </c>
      <c r="V44" s="6" t="n">
        <f aca="false">IF(O44="FLAT5",5%,IF(O44="FLAT10",10%,IF(O44="FLAT15",15%,IF(O44="FLAT20",20%,0))))</f>
        <v>0.1</v>
      </c>
      <c r="W44" s="5" t="n">
        <f aca="false">U44*(1-V44)</f>
        <v>5398.2</v>
      </c>
      <c r="X44" s="5" t="n">
        <f aca="false">W44+IF(O44="DEL0",0,Q44)</f>
        <v>5488.2</v>
      </c>
      <c r="Y44" s="0" t="str">
        <f aca="false">B44&amp;" "&amp;C44</f>
        <v>Vikram Nair</v>
      </c>
      <c r="Z44" s="0" t="str">
        <f aca="false">IF(T44&lt;P44,"BeforeTime",IF(T44=P44,"Intime","Late"))</f>
        <v>Intime</v>
      </c>
      <c r="AA44" s="0" t="str">
        <f aca="false">TEXT(J44,"mmm")</f>
        <v>Sep</v>
      </c>
      <c r="AB44" s="0" t="e">
        <f aca="false">xlookup(L44,Products!A:A,Products!B:B,"")</f>
        <v>#NAME?</v>
      </c>
    </row>
    <row r="45" customFormat="false" ht="15" hidden="false" customHeight="false" outlineLevel="0" collapsed="false">
      <c r="A45" s="0" t="s">
        <v>343</v>
      </c>
      <c r="B45" s="0" t="s">
        <v>67</v>
      </c>
      <c r="C45" s="0" t="s">
        <v>113</v>
      </c>
      <c r="D45" s="0" t="n">
        <v>39</v>
      </c>
      <c r="E45" s="0" t="s">
        <v>36</v>
      </c>
      <c r="F45" s="0" t="s">
        <v>77</v>
      </c>
      <c r="G45" s="0" t="s">
        <v>344</v>
      </c>
      <c r="H45" s="0" t="s">
        <v>345</v>
      </c>
      <c r="I45" s="0" t="s">
        <v>346</v>
      </c>
      <c r="J45" s="4" t="n">
        <v>45685</v>
      </c>
      <c r="K45" s="0" t="s">
        <v>347</v>
      </c>
      <c r="L45" s="0" t="s">
        <v>42</v>
      </c>
      <c r="M45" s="5" t="n">
        <v>2199</v>
      </c>
      <c r="N45" s="0" t="n">
        <v>3</v>
      </c>
      <c r="O45" s="0" t="s">
        <v>83</v>
      </c>
      <c r="P45" s="0" t="n">
        <v>6</v>
      </c>
      <c r="Q45" s="5" t="n">
        <v>50</v>
      </c>
      <c r="R45" s="4" t="n">
        <v>45691</v>
      </c>
      <c r="S45" s="0" t="s">
        <v>348</v>
      </c>
      <c r="T45" s="0" t="n">
        <f aca="false">R45-J45</f>
        <v>6</v>
      </c>
      <c r="U45" s="5" t="n">
        <f aca="false">M45*N45</f>
        <v>6597</v>
      </c>
      <c r="V45" s="6" t="n">
        <f aca="false">IF(O45="FLAT5",5%,IF(O45="FLAT10",10%,IF(O45="FLAT15",15%,IF(O45="FLAT20",20%,0))))</f>
        <v>0.05</v>
      </c>
      <c r="W45" s="5" t="n">
        <f aca="false">U45*(1-V45)</f>
        <v>6267.15</v>
      </c>
      <c r="X45" s="5" t="n">
        <f aca="false">W45+IF(O45="DEL0",0,Q45)</f>
        <v>6317.15</v>
      </c>
      <c r="Y45" s="0" t="str">
        <f aca="false">B45&amp;" "&amp;C45</f>
        <v>Priya Rao</v>
      </c>
      <c r="Z45" s="0" t="str">
        <f aca="false">IF(T45&lt;P45,"BeforeTime",IF(T45=P45,"Intime","Late"))</f>
        <v>Intime</v>
      </c>
      <c r="AA45" s="0" t="str">
        <f aca="false">TEXT(J45,"mmm")</f>
        <v>Jan</v>
      </c>
      <c r="AB45" s="0" t="e">
        <f aca="false">xlookup(L45,Products!A:A,Products!B:B,"")</f>
        <v>#NAME?</v>
      </c>
    </row>
    <row r="46" customFormat="false" ht="15" hidden="false" customHeight="false" outlineLevel="0" collapsed="false">
      <c r="A46" s="0" t="s">
        <v>349</v>
      </c>
      <c r="B46" s="0" t="s">
        <v>122</v>
      </c>
      <c r="C46" s="0" t="s">
        <v>167</v>
      </c>
      <c r="D46" s="0" t="n">
        <v>50</v>
      </c>
      <c r="E46" s="0" t="s">
        <v>48</v>
      </c>
      <c r="F46" s="0" t="s">
        <v>59</v>
      </c>
      <c r="G46" s="0" t="s">
        <v>350</v>
      </c>
      <c r="H46" s="0" t="s">
        <v>351</v>
      </c>
      <c r="I46" s="0" t="s">
        <v>352</v>
      </c>
      <c r="J46" s="4" t="n">
        <v>45902</v>
      </c>
      <c r="K46" s="0" t="s">
        <v>353</v>
      </c>
      <c r="L46" s="0" t="s">
        <v>42</v>
      </c>
      <c r="M46" s="5" t="n">
        <v>2199</v>
      </c>
      <c r="N46" s="0" t="n">
        <v>1</v>
      </c>
      <c r="O46" s="0" t="s">
        <v>91</v>
      </c>
      <c r="P46" s="0" t="n">
        <v>2</v>
      </c>
      <c r="Q46" s="5" t="n">
        <v>75</v>
      </c>
      <c r="R46" s="4" t="n">
        <v>45908</v>
      </c>
      <c r="S46" s="0" t="s">
        <v>354</v>
      </c>
      <c r="T46" s="0" t="n">
        <f aca="false">R46-J46</f>
        <v>6</v>
      </c>
      <c r="U46" s="5" t="n">
        <f aca="false">M46*N46</f>
        <v>2199</v>
      </c>
      <c r="V46" s="6" t="n">
        <f aca="false">IF(O46="FLAT5",5%,IF(O46="FLAT10",10%,IF(O46="FLAT15",15%,IF(O46="FLAT20",20%,0))))</f>
        <v>0.1</v>
      </c>
      <c r="W46" s="5" t="n">
        <f aca="false">U46*(1-V46)</f>
        <v>1979.1</v>
      </c>
      <c r="X46" s="5" t="n">
        <f aca="false">W46+IF(O46="DEL0",0,Q46)</f>
        <v>2054.1</v>
      </c>
      <c r="Y46" s="0" t="str">
        <f aca="false">B46&amp;" "&amp;C46</f>
        <v>Meera Chowdhury</v>
      </c>
      <c r="Z46" s="0" t="str">
        <f aca="false">IF(T46&lt;P46,"BeforeTime",IF(T46=P46,"Intime","Late"))</f>
        <v>Late</v>
      </c>
      <c r="AA46" s="0" t="str">
        <f aca="false">TEXT(J46,"mmm")</f>
        <v>Sep</v>
      </c>
      <c r="AB46" s="0" t="e">
        <f aca="false">xlookup(L46,Products!A:A,Products!B:B,"")</f>
        <v>#NAME?</v>
      </c>
    </row>
    <row r="47" customFormat="false" ht="15" hidden="false" customHeight="false" outlineLevel="0" collapsed="false">
      <c r="A47" s="0" t="s">
        <v>355</v>
      </c>
      <c r="B47" s="0" t="s">
        <v>57</v>
      </c>
      <c r="C47" s="0" t="s">
        <v>123</v>
      </c>
      <c r="D47" s="0" t="n">
        <v>27</v>
      </c>
      <c r="E47" s="0" t="s">
        <v>48</v>
      </c>
      <c r="F47" s="0" t="s">
        <v>124</v>
      </c>
      <c r="G47" s="0" t="s">
        <v>356</v>
      </c>
      <c r="H47" s="0" t="s">
        <v>357</v>
      </c>
      <c r="I47" s="0" t="s">
        <v>358</v>
      </c>
      <c r="J47" s="4" t="n">
        <v>45852</v>
      </c>
      <c r="K47" s="0" t="s">
        <v>359</v>
      </c>
      <c r="L47" s="0" t="s">
        <v>64</v>
      </c>
      <c r="M47" s="5" t="n">
        <v>2799</v>
      </c>
      <c r="N47" s="0" t="n">
        <v>2</v>
      </c>
      <c r="O47" s="0" t="s">
        <v>54</v>
      </c>
      <c r="P47" s="0" t="n">
        <v>5</v>
      </c>
      <c r="Q47" s="5" t="n">
        <v>0</v>
      </c>
      <c r="R47" s="4" t="n">
        <v>45860</v>
      </c>
      <c r="S47" s="0" t="s">
        <v>360</v>
      </c>
      <c r="T47" s="0" t="n">
        <f aca="false">R47-J47</f>
        <v>8</v>
      </c>
      <c r="U47" s="5" t="n">
        <f aca="false">M47*N47</f>
        <v>5598</v>
      </c>
      <c r="V47" s="6" t="n">
        <f aca="false">IF(O47="FLAT5",5%,IF(O47="FLAT10",10%,IF(O47="FLAT15",15%,IF(O47="FLAT20",20%,0))))</f>
        <v>0</v>
      </c>
      <c r="W47" s="5" t="n">
        <f aca="false">U47*(1-V47)</f>
        <v>5598</v>
      </c>
      <c r="X47" s="5" t="n">
        <f aca="false">W47+IF(O47="DEL0",0,Q47)</f>
        <v>5598</v>
      </c>
      <c r="Y47" s="0" t="str">
        <f aca="false">B47&amp;" "&amp;C47</f>
        <v>Arjun Nair</v>
      </c>
      <c r="Z47" s="0" t="str">
        <f aca="false">IF(T47&lt;P47,"BeforeTime",IF(T47=P47,"Intime","Late"))</f>
        <v>Late</v>
      </c>
      <c r="AA47" s="0" t="str">
        <f aca="false">TEXT(J47,"mmm")</f>
        <v>Jul</v>
      </c>
      <c r="AB47" s="0" t="e">
        <f aca="false">xlookup(L47,Products!A:A,Products!B:B,"")</f>
        <v>#NAME?</v>
      </c>
    </row>
    <row r="48" customFormat="false" ht="15" hidden="false" customHeight="false" outlineLevel="0" collapsed="false">
      <c r="A48" s="0" t="s">
        <v>361</v>
      </c>
      <c r="B48" s="0" t="s">
        <v>104</v>
      </c>
      <c r="C48" s="0" t="s">
        <v>261</v>
      </c>
      <c r="D48" s="0" t="n">
        <v>33</v>
      </c>
      <c r="E48" s="0" t="s">
        <v>36</v>
      </c>
      <c r="F48" s="0" t="s">
        <v>114</v>
      </c>
      <c r="G48" s="0" t="s">
        <v>362</v>
      </c>
      <c r="H48" s="0" t="s">
        <v>363</v>
      </c>
      <c r="I48" s="0" t="s">
        <v>364</v>
      </c>
      <c r="J48" s="4" t="n">
        <v>45746</v>
      </c>
      <c r="K48" s="0" t="s">
        <v>365</v>
      </c>
      <c r="L48" s="0" t="s">
        <v>119</v>
      </c>
      <c r="M48" s="5" t="n">
        <v>899</v>
      </c>
      <c r="N48" s="0" t="n">
        <v>1</v>
      </c>
      <c r="O48" s="0" t="s">
        <v>83</v>
      </c>
      <c r="P48" s="0" t="n">
        <v>6</v>
      </c>
      <c r="Q48" s="5" t="n">
        <v>75</v>
      </c>
      <c r="R48" s="4" t="n">
        <v>45747</v>
      </c>
      <c r="S48" s="0" t="s">
        <v>366</v>
      </c>
      <c r="T48" s="0" t="n">
        <f aca="false">R48-J48</f>
        <v>1</v>
      </c>
      <c r="U48" s="5" t="n">
        <f aca="false">M48*N48</f>
        <v>899</v>
      </c>
      <c r="V48" s="6" t="n">
        <f aca="false">IF(O48="FLAT5",5%,IF(O48="FLAT10",10%,IF(O48="FLAT15",15%,IF(O48="FLAT20",20%,0))))</f>
        <v>0.05</v>
      </c>
      <c r="W48" s="5" t="n">
        <f aca="false">U48*(1-V48)</f>
        <v>854.05</v>
      </c>
      <c r="X48" s="5" t="n">
        <f aca="false">W48+IF(O48="DEL0",0,Q48)</f>
        <v>929.05</v>
      </c>
      <c r="Y48" s="0" t="str">
        <f aca="false">B48&amp;" "&amp;C48</f>
        <v>Keerthi Kumar</v>
      </c>
      <c r="Z48" s="0" t="str">
        <f aca="false">IF(T48&lt;P48,"BeforeTime",IF(T48=P48,"Intime","Late"))</f>
        <v>BeforeTime</v>
      </c>
      <c r="AA48" s="0" t="str">
        <f aca="false">TEXT(J48,"mmm")</f>
        <v>Mar</v>
      </c>
      <c r="AB48" s="0" t="e">
        <f aca="false">xlookup(L48,Products!A:A,Products!B:B,"")</f>
        <v>#NAME?</v>
      </c>
    </row>
    <row r="49" customFormat="false" ht="15" hidden="false" customHeight="false" outlineLevel="0" collapsed="false">
      <c r="A49" s="0" t="s">
        <v>367</v>
      </c>
      <c r="B49" s="0" t="s">
        <v>122</v>
      </c>
      <c r="C49" s="0" t="s">
        <v>368</v>
      </c>
      <c r="D49" s="0" t="n">
        <v>49</v>
      </c>
      <c r="E49" s="0" t="s">
        <v>36</v>
      </c>
      <c r="F49" s="0" t="s">
        <v>37</v>
      </c>
      <c r="G49" s="0" t="s">
        <v>369</v>
      </c>
      <c r="H49" s="0" t="s">
        <v>370</v>
      </c>
      <c r="I49" s="0" t="s">
        <v>371</v>
      </c>
      <c r="J49" s="4" t="n">
        <v>45936</v>
      </c>
      <c r="K49" s="0" t="s">
        <v>372</v>
      </c>
      <c r="L49" s="0" t="s">
        <v>72</v>
      </c>
      <c r="M49" s="5" t="n">
        <v>1299</v>
      </c>
      <c r="N49" s="0" t="n">
        <v>2</v>
      </c>
      <c r="O49" s="0" t="s">
        <v>101</v>
      </c>
      <c r="P49" s="0" t="n">
        <v>3</v>
      </c>
      <c r="Q49" s="5" t="n">
        <v>60</v>
      </c>
      <c r="R49" s="4" t="n">
        <v>45939</v>
      </c>
      <c r="S49" s="0" t="s">
        <v>373</v>
      </c>
      <c r="T49" s="0" t="n">
        <f aca="false">R49-J49</f>
        <v>3</v>
      </c>
      <c r="U49" s="5" t="n">
        <f aca="false">M49*N49</f>
        <v>2598</v>
      </c>
      <c r="V49" s="6" t="n">
        <f aca="false">IF(O49="FLAT5",5%,IF(O49="FLAT10",10%,IF(O49="FLAT15",15%,IF(O49="FLAT20",20%,0))))</f>
        <v>0.15</v>
      </c>
      <c r="W49" s="5" t="n">
        <f aca="false">U49*(1-V49)</f>
        <v>2208.3</v>
      </c>
      <c r="X49" s="5" t="n">
        <f aca="false">W49+IF(O49="DEL0",0,Q49)</f>
        <v>2268.3</v>
      </c>
      <c r="Y49" s="0" t="str">
        <f aca="false">B49&amp;" "&amp;C49</f>
        <v>Meera Das</v>
      </c>
      <c r="Z49" s="0" t="str">
        <f aca="false">IF(T49&lt;P49,"BeforeTime",IF(T49=P49,"Intime","Late"))</f>
        <v>Intime</v>
      </c>
      <c r="AA49" s="0" t="str">
        <f aca="false">TEXT(J49,"mmm")</f>
        <v>Oct</v>
      </c>
      <c r="AB49" s="0" t="e">
        <f aca="false">xlookup(L49,Products!A:A,Products!B:B,"")</f>
        <v>#NAME?</v>
      </c>
    </row>
    <row r="50" customFormat="false" ht="15" hidden="false" customHeight="false" outlineLevel="0" collapsed="false">
      <c r="A50" s="0" t="s">
        <v>374</v>
      </c>
      <c r="B50" s="0" t="s">
        <v>94</v>
      </c>
      <c r="C50" s="0" t="s">
        <v>368</v>
      </c>
      <c r="D50" s="0" t="n">
        <v>48</v>
      </c>
      <c r="E50" s="0" t="s">
        <v>36</v>
      </c>
      <c r="F50" s="0" t="s">
        <v>248</v>
      </c>
      <c r="G50" s="0" t="s">
        <v>375</v>
      </c>
      <c r="H50" s="0" t="s">
        <v>376</v>
      </c>
      <c r="I50" s="0" t="s">
        <v>377</v>
      </c>
      <c r="J50" s="4" t="n">
        <v>45797</v>
      </c>
      <c r="K50" s="0" t="s">
        <v>378</v>
      </c>
      <c r="L50" s="0" t="s">
        <v>82</v>
      </c>
      <c r="M50" s="5" t="n">
        <v>1199</v>
      </c>
      <c r="N50" s="0" t="n">
        <v>3</v>
      </c>
      <c r="O50" s="0" t="s">
        <v>54</v>
      </c>
      <c r="P50" s="0" t="n">
        <v>6</v>
      </c>
      <c r="Q50" s="5" t="n">
        <v>0</v>
      </c>
      <c r="R50" s="4" t="n">
        <v>45803</v>
      </c>
      <c r="S50" s="0" t="s">
        <v>379</v>
      </c>
      <c r="T50" s="0" t="n">
        <f aca="false">R50-J50</f>
        <v>6</v>
      </c>
      <c r="U50" s="5" t="n">
        <f aca="false">M50*N50</f>
        <v>3597</v>
      </c>
      <c r="V50" s="6" t="n">
        <f aca="false">IF(O50="FLAT5",5%,IF(O50="FLAT10",10%,IF(O50="FLAT15",15%,IF(O50="FLAT20",20%,0))))</f>
        <v>0</v>
      </c>
      <c r="W50" s="5" t="n">
        <f aca="false">U50*(1-V50)</f>
        <v>3597</v>
      </c>
      <c r="X50" s="5" t="n">
        <f aca="false">W50+IF(O50="DEL0",0,Q50)</f>
        <v>3597</v>
      </c>
      <c r="Y50" s="0" t="str">
        <f aca="false">B50&amp;" "&amp;C50</f>
        <v>Manoj Das</v>
      </c>
      <c r="Z50" s="0" t="str">
        <f aca="false">IF(T50&lt;P50,"BeforeTime",IF(T50=P50,"Intime","Late"))</f>
        <v>Intime</v>
      </c>
      <c r="AA50" s="0" t="str">
        <f aca="false">TEXT(J50,"mmm")</f>
        <v>May</v>
      </c>
      <c r="AB50" s="0" t="e">
        <f aca="false">xlookup(L50,Products!A:A,Products!B:B,"")</f>
        <v>#NAME?</v>
      </c>
    </row>
    <row r="51" customFormat="false" ht="15" hidden="false" customHeight="false" outlineLevel="0" collapsed="false">
      <c r="A51" s="0" t="s">
        <v>380</v>
      </c>
      <c r="B51" s="0" t="s">
        <v>86</v>
      </c>
      <c r="C51" s="0" t="s">
        <v>181</v>
      </c>
      <c r="D51" s="0" t="n">
        <v>21</v>
      </c>
      <c r="E51" s="0" t="s">
        <v>36</v>
      </c>
      <c r="F51" s="0" t="s">
        <v>37</v>
      </c>
      <c r="G51" s="0" t="s">
        <v>381</v>
      </c>
      <c r="H51" s="0" t="s">
        <v>382</v>
      </c>
      <c r="I51" s="0" t="s">
        <v>383</v>
      </c>
      <c r="J51" s="4" t="n">
        <v>46002</v>
      </c>
      <c r="K51" s="0" t="s">
        <v>384</v>
      </c>
      <c r="L51" s="0" t="s">
        <v>119</v>
      </c>
      <c r="M51" s="5" t="n">
        <v>899</v>
      </c>
      <c r="N51" s="0" t="n">
        <v>1</v>
      </c>
      <c r="O51" s="0" t="s">
        <v>259</v>
      </c>
      <c r="P51" s="0" t="n">
        <v>4</v>
      </c>
      <c r="Q51" s="5" t="n">
        <v>50</v>
      </c>
      <c r="R51" s="4" t="n">
        <v>46006</v>
      </c>
      <c r="S51" s="0" t="s">
        <v>385</v>
      </c>
      <c r="T51" s="0" t="n">
        <f aca="false">R51-J51</f>
        <v>4</v>
      </c>
      <c r="U51" s="5" t="n">
        <f aca="false">M51*N51</f>
        <v>899</v>
      </c>
      <c r="V51" s="6" t="n">
        <f aca="false">IF(O51="FLAT5",5%,IF(O51="FLAT10",10%,IF(O51="FLAT15",15%,IF(O51="FLAT20",20%,0))))</f>
        <v>0</v>
      </c>
      <c r="W51" s="5" t="n">
        <f aca="false">U51*(1-V51)</f>
        <v>899</v>
      </c>
      <c r="X51" s="5" t="n">
        <f aca="false">W51+IF(O51="DEL0",0,Q51)</f>
        <v>949</v>
      </c>
      <c r="Y51" s="0" t="str">
        <f aca="false">B51&amp;" "&amp;C51</f>
        <v>Rahul Gupta</v>
      </c>
      <c r="Z51" s="0" t="str">
        <f aca="false">IF(T51&lt;P51,"BeforeTime",IF(T51=P51,"Intime","Late"))</f>
        <v>Intime</v>
      </c>
      <c r="AA51" s="0" t="str">
        <f aca="false">TEXT(J51,"mmm")</f>
        <v>Dec</v>
      </c>
      <c r="AB51" s="0" t="e">
        <f aca="false">xlookup(L51,Products!A:A,Products!B:B,"")</f>
        <v>#NAME?</v>
      </c>
    </row>
    <row r="52" customFormat="false" ht="15" hidden="false" customHeight="false" outlineLevel="0" collapsed="false">
      <c r="A52" s="0" t="s">
        <v>386</v>
      </c>
      <c r="B52" s="0" t="s">
        <v>147</v>
      </c>
      <c r="C52" s="0" t="s">
        <v>76</v>
      </c>
      <c r="D52" s="0" t="n">
        <v>50</v>
      </c>
      <c r="E52" s="0" t="s">
        <v>48</v>
      </c>
      <c r="F52" s="0" t="s">
        <v>160</v>
      </c>
      <c r="G52" s="0" t="s">
        <v>387</v>
      </c>
      <c r="H52" s="0" t="s">
        <v>388</v>
      </c>
      <c r="I52" s="0" t="s">
        <v>389</v>
      </c>
      <c r="J52" s="4" t="n">
        <v>45740</v>
      </c>
      <c r="K52" s="0" t="s">
        <v>390</v>
      </c>
      <c r="L52" s="0" t="s">
        <v>391</v>
      </c>
      <c r="M52" s="5" t="n">
        <v>3499</v>
      </c>
      <c r="N52" s="0" t="n">
        <v>3</v>
      </c>
      <c r="O52" s="0" t="s">
        <v>43</v>
      </c>
      <c r="P52" s="0" t="n">
        <v>4</v>
      </c>
      <c r="Q52" s="5" t="n">
        <v>75</v>
      </c>
      <c r="R52" s="4" t="n">
        <v>45744</v>
      </c>
      <c r="S52" s="0" t="s">
        <v>392</v>
      </c>
      <c r="T52" s="0" t="n">
        <f aca="false">R52-J52</f>
        <v>4</v>
      </c>
      <c r="U52" s="5" t="n">
        <f aca="false">M52*N52</f>
        <v>10497</v>
      </c>
      <c r="V52" s="6" t="n">
        <f aca="false">IF(O52="FLAT5",5%,IF(O52="FLAT10",10%,IF(O52="FLAT15",15%,IF(O52="FLAT20",20%,0))))</f>
        <v>0.2</v>
      </c>
      <c r="W52" s="5" t="n">
        <f aca="false">U52*(1-V52)</f>
        <v>8397.6</v>
      </c>
      <c r="X52" s="5" t="n">
        <f aca="false">W52+IF(O52="DEL0",0,Q52)</f>
        <v>8472.6</v>
      </c>
      <c r="Y52" s="0" t="str">
        <f aca="false">B52&amp;" "&amp;C52</f>
        <v>Pooja Patel</v>
      </c>
      <c r="Z52" s="0" t="str">
        <f aca="false">IF(T52&lt;P52,"BeforeTime",IF(T52=P52,"Intime","Late"))</f>
        <v>Intime</v>
      </c>
      <c r="AA52" s="0" t="str">
        <f aca="false">TEXT(J52,"mmm")</f>
        <v>Mar</v>
      </c>
      <c r="AB52" s="0" t="e">
        <f aca="false">xlookup(L52,Products!A:A,Products!B:B,"")</f>
        <v>#NAME?</v>
      </c>
    </row>
    <row r="53" customFormat="false" ht="15" hidden="false" customHeight="false" outlineLevel="0" collapsed="false">
      <c r="A53" s="0" t="s">
        <v>393</v>
      </c>
      <c r="B53" s="0" t="s">
        <v>394</v>
      </c>
      <c r="C53" s="0" t="s">
        <v>76</v>
      </c>
      <c r="D53" s="0" t="n">
        <v>40</v>
      </c>
      <c r="E53" s="0" t="s">
        <v>48</v>
      </c>
      <c r="F53" s="0" t="s">
        <v>59</v>
      </c>
      <c r="G53" s="0" t="s">
        <v>395</v>
      </c>
      <c r="H53" s="0" t="s">
        <v>396</v>
      </c>
      <c r="I53" s="0" t="s">
        <v>397</v>
      </c>
      <c r="J53" s="4" t="n">
        <v>45658</v>
      </c>
      <c r="K53" s="0" t="s">
        <v>398</v>
      </c>
      <c r="L53" s="0" t="s">
        <v>129</v>
      </c>
      <c r="M53" s="5" t="n">
        <v>2999</v>
      </c>
      <c r="N53" s="0" t="n">
        <v>4</v>
      </c>
      <c r="O53" s="0" t="s">
        <v>259</v>
      </c>
      <c r="P53" s="0" t="n">
        <v>7</v>
      </c>
      <c r="Q53" s="5" t="n">
        <v>75</v>
      </c>
      <c r="R53" s="4" t="n">
        <v>45669</v>
      </c>
      <c r="S53" s="0" t="s">
        <v>399</v>
      </c>
      <c r="T53" s="0" t="n">
        <f aca="false">R53-J53</f>
        <v>11</v>
      </c>
      <c r="U53" s="5" t="n">
        <f aca="false">M53*N53</f>
        <v>11996</v>
      </c>
      <c r="V53" s="6" t="n">
        <f aca="false">IF(O53="FLAT5",5%,IF(O53="FLAT10",10%,IF(O53="FLAT15",15%,IF(O53="FLAT20",20%,0))))</f>
        <v>0</v>
      </c>
      <c r="W53" s="5" t="n">
        <f aca="false">U53*(1-V53)</f>
        <v>11996</v>
      </c>
      <c r="X53" s="5" t="n">
        <f aca="false">W53+IF(O53="DEL0",0,Q53)</f>
        <v>12071</v>
      </c>
      <c r="Y53" s="0" t="str">
        <f aca="false">B53&amp;" "&amp;C53</f>
        <v>Kiran Patel</v>
      </c>
      <c r="Z53" s="0" t="str">
        <f aca="false">IF(T53&lt;P53,"BeforeTime",IF(T53=P53,"Intime","Late"))</f>
        <v>Late</v>
      </c>
      <c r="AA53" s="0" t="str">
        <f aca="false">TEXT(J53,"mmm")</f>
        <v>Jan</v>
      </c>
      <c r="AB53" s="0" t="e">
        <f aca="false">xlookup(L53,Products!A:A,Products!B:B,"")</f>
        <v>#NAME?</v>
      </c>
    </row>
    <row r="54" customFormat="false" ht="15" hidden="false" customHeight="false" outlineLevel="0" collapsed="false">
      <c r="A54" s="0" t="s">
        <v>93</v>
      </c>
      <c r="B54" s="0" t="s">
        <v>394</v>
      </c>
      <c r="C54" s="0" t="s">
        <v>210</v>
      </c>
      <c r="D54" s="0" t="n">
        <v>33</v>
      </c>
      <c r="E54" s="0" t="s">
        <v>48</v>
      </c>
      <c r="F54" s="0" t="s">
        <v>77</v>
      </c>
      <c r="G54" s="0" t="s">
        <v>400</v>
      </c>
      <c r="H54" s="0" t="s">
        <v>307</v>
      </c>
      <c r="I54" s="0" t="s">
        <v>401</v>
      </c>
      <c r="J54" s="4" t="n">
        <v>46015</v>
      </c>
      <c r="K54" s="0" t="s">
        <v>402</v>
      </c>
      <c r="L54" s="0" t="s">
        <v>42</v>
      </c>
      <c r="M54" s="5" t="n">
        <v>2199</v>
      </c>
      <c r="N54" s="0" t="n">
        <v>3</v>
      </c>
      <c r="O54" s="0" t="s">
        <v>101</v>
      </c>
      <c r="P54" s="0" t="n">
        <v>5</v>
      </c>
      <c r="Q54" s="5" t="n">
        <v>120</v>
      </c>
      <c r="R54" s="4" t="n">
        <v>46017</v>
      </c>
      <c r="S54" s="0" t="s">
        <v>403</v>
      </c>
      <c r="T54" s="0" t="n">
        <f aca="false">R54-J54</f>
        <v>2</v>
      </c>
      <c r="U54" s="5" t="n">
        <f aca="false">M54*N54</f>
        <v>6597</v>
      </c>
      <c r="V54" s="6" t="n">
        <f aca="false">IF(O54="FLAT5",5%,IF(O54="FLAT10",10%,IF(O54="FLAT15",15%,IF(O54="FLAT20",20%,0))))</f>
        <v>0.15</v>
      </c>
      <c r="W54" s="5" t="n">
        <f aca="false">U54*(1-V54)</f>
        <v>5607.45</v>
      </c>
      <c r="X54" s="5" t="n">
        <f aca="false">W54+IF(O54="DEL0",0,Q54)</f>
        <v>5727.45</v>
      </c>
      <c r="Y54" s="0" t="str">
        <f aca="false">B54&amp;" "&amp;C54</f>
        <v>Kiran Reddy</v>
      </c>
      <c r="Z54" s="0" t="str">
        <f aca="false">IF(T54&lt;P54,"BeforeTime",IF(T54=P54,"Intime","Late"))</f>
        <v>BeforeTime</v>
      </c>
      <c r="AA54" s="0" t="str">
        <f aca="false">TEXT(J54,"mmm")</f>
        <v>Dec</v>
      </c>
      <c r="AB54" s="0" t="e">
        <f aca="false">xlookup(L54,Products!A:A,Products!B:B,"")</f>
        <v>#NAME?</v>
      </c>
    </row>
    <row r="55" customFormat="false" ht="15" hidden="false" customHeight="false" outlineLevel="0" collapsed="false">
      <c r="A55" s="0" t="s">
        <v>404</v>
      </c>
      <c r="B55" s="0" t="s">
        <v>405</v>
      </c>
      <c r="C55" s="0" t="s">
        <v>261</v>
      </c>
      <c r="D55" s="0" t="n">
        <v>49</v>
      </c>
      <c r="E55" s="0" t="s">
        <v>36</v>
      </c>
      <c r="F55" s="0" t="s">
        <v>262</v>
      </c>
      <c r="G55" s="0" t="s">
        <v>406</v>
      </c>
      <c r="H55" s="0" t="s">
        <v>407</v>
      </c>
      <c r="I55" s="0" t="s">
        <v>408</v>
      </c>
      <c r="J55" s="4" t="n">
        <v>45797</v>
      </c>
      <c r="K55" s="0" t="s">
        <v>409</v>
      </c>
      <c r="L55" s="0" t="s">
        <v>53</v>
      </c>
      <c r="M55" s="5" t="n">
        <v>2499</v>
      </c>
      <c r="N55" s="0" t="n">
        <v>3</v>
      </c>
      <c r="O55" s="0" t="s">
        <v>101</v>
      </c>
      <c r="P55" s="0" t="n">
        <v>5</v>
      </c>
      <c r="Q55" s="5" t="n">
        <v>50</v>
      </c>
      <c r="R55" s="4" t="n">
        <v>45806</v>
      </c>
      <c r="S55" s="0" t="s">
        <v>410</v>
      </c>
      <c r="T55" s="0" t="n">
        <f aca="false">R55-J55</f>
        <v>9</v>
      </c>
      <c r="U55" s="5" t="n">
        <f aca="false">M55*N55</f>
        <v>7497</v>
      </c>
      <c r="V55" s="6" t="n">
        <f aca="false">IF(O55="FLAT5",5%,IF(O55="FLAT10",10%,IF(O55="FLAT15",15%,IF(O55="FLAT20",20%,0))))</f>
        <v>0.15</v>
      </c>
      <c r="W55" s="5" t="n">
        <f aca="false">U55*(1-V55)</f>
        <v>6372.45</v>
      </c>
      <c r="X55" s="5" t="n">
        <f aca="false">W55+IF(O55="DEL0",0,Q55)</f>
        <v>6422.45</v>
      </c>
      <c r="Y55" s="0" t="str">
        <f aca="false">B55&amp;" "&amp;C55</f>
        <v>Sneha Kumar</v>
      </c>
      <c r="Z55" s="0" t="str">
        <f aca="false">IF(T55&lt;P55,"BeforeTime",IF(T55=P55,"Intime","Late"))</f>
        <v>Late</v>
      </c>
      <c r="AA55" s="0" t="str">
        <f aca="false">TEXT(J55,"mmm")</f>
        <v>May</v>
      </c>
      <c r="AB55" s="0" t="e">
        <f aca="false">xlookup(L55,Products!A:A,Products!B:B,"")</f>
        <v>#NAME?</v>
      </c>
    </row>
    <row r="56" customFormat="false" ht="15" hidden="false" customHeight="false" outlineLevel="0" collapsed="false">
      <c r="A56" s="0" t="s">
        <v>411</v>
      </c>
      <c r="B56" s="0" t="s">
        <v>209</v>
      </c>
      <c r="C56" s="0" t="s">
        <v>76</v>
      </c>
      <c r="D56" s="0" t="n">
        <v>37</v>
      </c>
      <c r="E56" s="0" t="s">
        <v>48</v>
      </c>
      <c r="F56" s="0" t="s">
        <v>59</v>
      </c>
      <c r="G56" s="0" t="s">
        <v>412</v>
      </c>
      <c r="H56" s="0" t="s">
        <v>169</v>
      </c>
      <c r="I56" s="0" t="s">
        <v>413</v>
      </c>
      <c r="J56" s="4" t="n">
        <v>45802</v>
      </c>
      <c r="K56" s="0" t="s">
        <v>414</v>
      </c>
      <c r="L56" s="0" t="s">
        <v>240</v>
      </c>
      <c r="M56" s="5" t="n">
        <v>4999</v>
      </c>
      <c r="N56" s="0" t="n">
        <v>3</v>
      </c>
      <c r="O56" s="0" t="s">
        <v>54</v>
      </c>
      <c r="P56" s="0" t="n">
        <v>7</v>
      </c>
      <c r="Q56" s="5" t="n">
        <v>0</v>
      </c>
      <c r="R56" s="4" t="n">
        <v>45809</v>
      </c>
      <c r="S56" s="0" t="s">
        <v>415</v>
      </c>
      <c r="T56" s="0" t="n">
        <f aca="false">R56-J56</f>
        <v>7</v>
      </c>
      <c r="U56" s="5" t="n">
        <f aca="false">M56*N56</f>
        <v>14997</v>
      </c>
      <c r="V56" s="6" t="n">
        <f aca="false">IF(O56="FLAT5",5%,IF(O56="FLAT10",10%,IF(O56="FLAT15",15%,IF(O56="FLAT20",20%,0))))</f>
        <v>0</v>
      </c>
      <c r="W56" s="5" t="n">
        <f aca="false">U56*(1-V56)</f>
        <v>14997</v>
      </c>
      <c r="X56" s="5" t="n">
        <f aca="false">W56+IF(O56="DEL0",0,Q56)</f>
        <v>14997</v>
      </c>
      <c r="Y56" s="0" t="str">
        <f aca="false">B56&amp;" "&amp;C56</f>
        <v>Ishaan Patel</v>
      </c>
      <c r="Z56" s="0" t="str">
        <f aca="false">IF(T56&lt;P56,"BeforeTime",IF(T56=P56,"Intime","Late"))</f>
        <v>Intime</v>
      </c>
      <c r="AA56" s="0" t="str">
        <f aca="false">TEXT(J56,"mmm")</f>
        <v>May</v>
      </c>
      <c r="AB56" s="0" t="e">
        <f aca="false">xlookup(L56,Products!A:A,Products!B:B,"")</f>
        <v>#NAME?</v>
      </c>
    </row>
    <row r="57" customFormat="false" ht="15" hidden="false" customHeight="false" outlineLevel="0" collapsed="false">
      <c r="A57" s="0" t="s">
        <v>416</v>
      </c>
      <c r="B57" s="0" t="s">
        <v>147</v>
      </c>
      <c r="C57" s="0" t="s">
        <v>417</v>
      </c>
      <c r="D57" s="0" t="n">
        <v>41</v>
      </c>
      <c r="E57" s="0" t="s">
        <v>48</v>
      </c>
      <c r="F57" s="0" t="s">
        <v>248</v>
      </c>
      <c r="G57" s="0" t="s">
        <v>418</v>
      </c>
      <c r="H57" s="0" t="s">
        <v>419</v>
      </c>
      <c r="I57" s="0" t="s">
        <v>420</v>
      </c>
      <c r="J57" s="4" t="n">
        <v>45780</v>
      </c>
      <c r="K57" s="0" t="s">
        <v>421</v>
      </c>
      <c r="L57" s="0" t="s">
        <v>391</v>
      </c>
      <c r="M57" s="5" t="n">
        <v>3499</v>
      </c>
      <c r="N57" s="0" t="n">
        <v>2</v>
      </c>
      <c r="O57" s="0" t="s">
        <v>259</v>
      </c>
      <c r="P57" s="0" t="n">
        <v>6</v>
      </c>
      <c r="Q57" s="5" t="n">
        <v>75</v>
      </c>
      <c r="R57" s="4" t="n">
        <v>45786</v>
      </c>
      <c r="S57" s="0" t="s">
        <v>102</v>
      </c>
      <c r="T57" s="0" t="n">
        <f aca="false">R57-J57</f>
        <v>6</v>
      </c>
      <c r="U57" s="5" t="n">
        <f aca="false">M57*N57</f>
        <v>6998</v>
      </c>
      <c r="V57" s="6" t="n">
        <f aca="false">IF(O57="FLAT5",5%,IF(O57="FLAT10",10%,IF(O57="FLAT15",15%,IF(O57="FLAT20",20%,0))))</f>
        <v>0</v>
      </c>
      <c r="W57" s="5" t="n">
        <f aca="false">U57*(1-V57)</f>
        <v>6998</v>
      </c>
      <c r="X57" s="5" t="n">
        <f aca="false">W57+IF(O57="DEL0",0,Q57)</f>
        <v>7073</v>
      </c>
      <c r="Y57" s="0" t="str">
        <f aca="false">B57&amp;" "&amp;C57</f>
        <v>Pooja Mehta</v>
      </c>
      <c r="Z57" s="0" t="str">
        <f aca="false">IF(T57&lt;P57,"BeforeTime",IF(T57=P57,"Intime","Late"))</f>
        <v>Intime</v>
      </c>
      <c r="AA57" s="0" t="str">
        <f aca="false">TEXT(J57,"mmm")</f>
        <v>May</v>
      </c>
      <c r="AB57" s="0" t="e">
        <f aca="false">xlookup(L57,Products!A:A,Products!B:B,"")</f>
        <v>#NAME?</v>
      </c>
    </row>
    <row r="58" customFormat="false" ht="15" hidden="false" customHeight="false" outlineLevel="0" collapsed="false">
      <c r="A58" s="0" t="s">
        <v>422</v>
      </c>
      <c r="B58" s="0" t="s">
        <v>209</v>
      </c>
      <c r="C58" s="0" t="s">
        <v>167</v>
      </c>
      <c r="D58" s="0" t="n">
        <v>22</v>
      </c>
      <c r="E58" s="0" t="s">
        <v>36</v>
      </c>
      <c r="F58" s="0" t="s">
        <v>77</v>
      </c>
      <c r="G58" s="0" t="s">
        <v>423</v>
      </c>
      <c r="H58" s="0" t="s">
        <v>424</v>
      </c>
      <c r="I58" s="0" t="s">
        <v>425</v>
      </c>
      <c r="J58" s="4" t="n">
        <v>45883</v>
      </c>
      <c r="K58" s="0" t="s">
        <v>220</v>
      </c>
      <c r="L58" s="0" t="s">
        <v>64</v>
      </c>
      <c r="M58" s="5" t="n">
        <v>2799</v>
      </c>
      <c r="N58" s="0" t="n">
        <v>3</v>
      </c>
      <c r="O58" s="0" t="s">
        <v>259</v>
      </c>
      <c r="P58" s="0" t="n">
        <v>2</v>
      </c>
      <c r="Q58" s="5" t="n">
        <v>75</v>
      </c>
      <c r="R58" s="4" t="n">
        <v>45885</v>
      </c>
      <c r="S58" s="0" t="s">
        <v>426</v>
      </c>
      <c r="T58" s="0" t="n">
        <f aca="false">R58-J58</f>
        <v>2</v>
      </c>
      <c r="U58" s="5" t="n">
        <f aca="false">M58*N58</f>
        <v>8397</v>
      </c>
      <c r="V58" s="6" t="n">
        <f aca="false">IF(O58="FLAT5",5%,IF(O58="FLAT10",10%,IF(O58="FLAT15",15%,IF(O58="FLAT20",20%,0))))</f>
        <v>0</v>
      </c>
      <c r="W58" s="5" t="n">
        <f aca="false">U58*(1-V58)</f>
        <v>8397</v>
      </c>
      <c r="X58" s="5" t="n">
        <f aca="false">W58+IF(O58="DEL0",0,Q58)</f>
        <v>8472</v>
      </c>
      <c r="Y58" s="0" t="str">
        <f aca="false">B58&amp;" "&amp;C58</f>
        <v>Ishaan Chowdhury</v>
      </c>
      <c r="Z58" s="0" t="str">
        <f aca="false">IF(T58&lt;P58,"BeforeTime",IF(T58=P58,"Intime","Late"))</f>
        <v>Intime</v>
      </c>
      <c r="AA58" s="0" t="str">
        <f aca="false">TEXT(J58,"mmm")</f>
        <v>Aug</v>
      </c>
      <c r="AB58" s="0" t="e">
        <f aca="false">xlookup(L58,Products!A:A,Products!B:B,"")</f>
        <v>#NAME?</v>
      </c>
    </row>
    <row r="59" customFormat="false" ht="15" hidden="false" customHeight="false" outlineLevel="0" collapsed="false">
      <c r="A59" s="0" t="s">
        <v>427</v>
      </c>
      <c r="B59" s="0" t="s">
        <v>57</v>
      </c>
      <c r="C59" s="0" t="s">
        <v>167</v>
      </c>
      <c r="D59" s="0" t="n">
        <v>36</v>
      </c>
      <c r="E59" s="0" t="s">
        <v>48</v>
      </c>
      <c r="F59" s="0" t="s">
        <v>124</v>
      </c>
      <c r="G59" s="0" t="s">
        <v>428</v>
      </c>
      <c r="H59" s="0" t="s">
        <v>429</v>
      </c>
      <c r="I59" s="0" t="s">
        <v>430</v>
      </c>
      <c r="J59" s="4" t="n">
        <v>45826</v>
      </c>
      <c r="K59" s="0" t="s">
        <v>431</v>
      </c>
      <c r="L59" s="0" t="s">
        <v>82</v>
      </c>
      <c r="M59" s="5" t="n">
        <v>1199</v>
      </c>
      <c r="N59" s="0" t="n">
        <v>4</v>
      </c>
      <c r="O59" s="0" t="s">
        <v>43</v>
      </c>
      <c r="P59" s="0" t="n">
        <v>7</v>
      </c>
      <c r="Q59" s="5" t="n">
        <v>60</v>
      </c>
      <c r="R59" s="4" t="n">
        <v>45837</v>
      </c>
      <c r="S59" s="0" t="s">
        <v>432</v>
      </c>
      <c r="T59" s="0" t="n">
        <f aca="false">R59-J59</f>
        <v>11</v>
      </c>
      <c r="U59" s="5" t="n">
        <f aca="false">M59*N59</f>
        <v>4796</v>
      </c>
      <c r="V59" s="6" t="n">
        <f aca="false">IF(O59="FLAT5",5%,IF(O59="FLAT10",10%,IF(O59="FLAT15",15%,IF(O59="FLAT20",20%,0))))</f>
        <v>0.2</v>
      </c>
      <c r="W59" s="5" t="n">
        <f aca="false">U59*(1-V59)</f>
        <v>3836.8</v>
      </c>
      <c r="X59" s="5" t="n">
        <f aca="false">W59+IF(O59="DEL0",0,Q59)</f>
        <v>3896.8</v>
      </c>
      <c r="Y59" s="0" t="str">
        <f aca="false">B59&amp;" "&amp;C59</f>
        <v>Arjun Chowdhury</v>
      </c>
      <c r="Z59" s="0" t="str">
        <f aca="false">IF(T59&lt;P59,"BeforeTime",IF(T59=P59,"Intime","Late"))</f>
        <v>Late</v>
      </c>
      <c r="AA59" s="0" t="str">
        <f aca="false">TEXT(J59,"mmm")</f>
        <v>Jun</v>
      </c>
      <c r="AB59" s="0" t="e">
        <f aca="false">xlookup(L59,Products!A:A,Products!B:B,"")</f>
        <v>#NAME?</v>
      </c>
    </row>
    <row r="60" customFormat="false" ht="15" hidden="false" customHeight="false" outlineLevel="0" collapsed="false">
      <c r="A60" s="0" t="s">
        <v>433</v>
      </c>
      <c r="B60" s="0" t="s">
        <v>57</v>
      </c>
      <c r="C60" s="0" t="s">
        <v>123</v>
      </c>
      <c r="D60" s="0" t="n">
        <v>38</v>
      </c>
      <c r="E60" s="0" t="s">
        <v>36</v>
      </c>
      <c r="F60" s="0" t="s">
        <v>140</v>
      </c>
      <c r="G60" s="0" t="s">
        <v>434</v>
      </c>
      <c r="H60" s="0" t="s">
        <v>435</v>
      </c>
      <c r="I60" s="0" t="s">
        <v>436</v>
      </c>
      <c r="J60" s="4" t="n">
        <v>46018</v>
      </c>
      <c r="K60" s="0" t="s">
        <v>437</v>
      </c>
      <c r="L60" s="0" t="s">
        <v>136</v>
      </c>
      <c r="M60" s="5" t="n">
        <v>1799</v>
      </c>
      <c r="N60" s="0" t="n">
        <v>1</v>
      </c>
      <c r="O60" s="0" t="s">
        <v>54</v>
      </c>
      <c r="P60" s="0" t="n">
        <v>2</v>
      </c>
      <c r="Q60" s="5" t="n">
        <v>0</v>
      </c>
      <c r="R60" s="4" t="n">
        <v>46020</v>
      </c>
      <c r="S60" s="0" t="s">
        <v>438</v>
      </c>
      <c r="T60" s="0" t="n">
        <f aca="false">R60-J60</f>
        <v>2</v>
      </c>
      <c r="U60" s="5" t="n">
        <f aca="false">M60*N60</f>
        <v>1799</v>
      </c>
      <c r="V60" s="6" t="n">
        <f aca="false">IF(O60="FLAT5",5%,IF(O60="FLAT10",10%,IF(O60="FLAT15",15%,IF(O60="FLAT20",20%,0))))</f>
        <v>0</v>
      </c>
      <c r="W60" s="5" t="n">
        <f aca="false">U60*(1-V60)</f>
        <v>1799</v>
      </c>
      <c r="X60" s="5" t="n">
        <f aca="false">W60+IF(O60="DEL0",0,Q60)</f>
        <v>1799</v>
      </c>
      <c r="Y60" s="0" t="str">
        <f aca="false">B60&amp;" "&amp;C60</f>
        <v>Arjun Nair</v>
      </c>
      <c r="Z60" s="0" t="str">
        <f aca="false">IF(T60&lt;P60,"BeforeTime",IF(T60=P60,"Intime","Late"))</f>
        <v>Intime</v>
      </c>
      <c r="AA60" s="0" t="str">
        <f aca="false">TEXT(J60,"mmm")</f>
        <v>Dec</v>
      </c>
      <c r="AB60" s="0" t="e">
        <f aca="false">xlookup(L60,Products!A:A,Products!B:B,"")</f>
        <v>#NAME?</v>
      </c>
    </row>
    <row r="61" customFormat="false" ht="15" hidden="false" customHeight="false" outlineLevel="0" collapsed="false">
      <c r="A61" s="0" t="s">
        <v>439</v>
      </c>
      <c r="B61" s="0" t="s">
        <v>67</v>
      </c>
      <c r="C61" s="0" t="s">
        <v>417</v>
      </c>
      <c r="D61" s="0" t="n">
        <v>47</v>
      </c>
      <c r="E61" s="0" t="s">
        <v>36</v>
      </c>
      <c r="F61" s="0" t="s">
        <v>37</v>
      </c>
      <c r="G61" s="0" t="s">
        <v>440</v>
      </c>
      <c r="H61" s="0" t="s">
        <v>441</v>
      </c>
      <c r="I61" s="0" t="s">
        <v>442</v>
      </c>
      <c r="J61" s="4" t="n">
        <v>45750</v>
      </c>
      <c r="K61" s="0" t="s">
        <v>443</v>
      </c>
      <c r="L61" s="0" t="s">
        <v>240</v>
      </c>
      <c r="M61" s="5" t="n">
        <v>4999</v>
      </c>
      <c r="N61" s="0" t="n">
        <v>4</v>
      </c>
      <c r="O61" s="0" t="s">
        <v>101</v>
      </c>
      <c r="P61" s="0" t="n">
        <v>3</v>
      </c>
      <c r="Q61" s="5" t="n">
        <v>90</v>
      </c>
      <c r="R61" s="4" t="n">
        <v>45752</v>
      </c>
      <c r="S61" s="0" t="s">
        <v>444</v>
      </c>
      <c r="T61" s="0" t="n">
        <f aca="false">R61-J61</f>
        <v>2</v>
      </c>
      <c r="U61" s="5" t="n">
        <f aca="false">M61*N61</f>
        <v>19996</v>
      </c>
      <c r="V61" s="6" t="n">
        <f aca="false">IF(O61="FLAT5",5%,IF(O61="FLAT10",10%,IF(O61="FLAT15",15%,IF(O61="FLAT20",20%,0))))</f>
        <v>0.15</v>
      </c>
      <c r="W61" s="5" t="n">
        <f aca="false">U61*(1-V61)</f>
        <v>16996.6</v>
      </c>
      <c r="X61" s="5" t="n">
        <f aca="false">W61+IF(O61="DEL0",0,Q61)</f>
        <v>17086.6</v>
      </c>
      <c r="Y61" s="0" t="str">
        <f aca="false">B61&amp;" "&amp;C61</f>
        <v>Priya Mehta</v>
      </c>
      <c r="Z61" s="0" t="str">
        <f aca="false">IF(T61&lt;P61,"BeforeTime",IF(T61=P61,"Intime","Late"))</f>
        <v>BeforeTime</v>
      </c>
      <c r="AA61" s="0" t="str">
        <f aca="false">TEXT(J61,"mmm")</f>
        <v>Apr</v>
      </c>
      <c r="AB61" s="0" t="e">
        <f aca="false">xlookup(L61,Products!A:A,Products!B:B,"")</f>
        <v>#NAME?</v>
      </c>
    </row>
    <row r="62" customFormat="false" ht="15" hidden="false" customHeight="false" outlineLevel="0" collapsed="false">
      <c r="A62" s="0" t="s">
        <v>327</v>
      </c>
      <c r="B62" s="0" t="s">
        <v>75</v>
      </c>
      <c r="C62" s="0" t="s">
        <v>105</v>
      </c>
      <c r="D62" s="0" t="n">
        <v>36</v>
      </c>
      <c r="E62" s="0" t="s">
        <v>36</v>
      </c>
      <c r="F62" s="0" t="s">
        <v>248</v>
      </c>
      <c r="G62" s="0" t="s">
        <v>445</v>
      </c>
      <c r="H62" s="0" t="s">
        <v>446</v>
      </c>
      <c r="I62" s="0" t="s">
        <v>447</v>
      </c>
      <c r="J62" s="4" t="n">
        <v>45834</v>
      </c>
      <c r="K62" s="0" t="s">
        <v>448</v>
      </c>
      <c r="L62" s="0" t="s">
        <v>72</v>
      </c>
      <c r="M62" s="5" t="n">
        <v>1299</v>
      </c>
      <c r="N62" s="0" t="n">
        <v>2</v>
      </c>
      <c r="O62" s="0" t="s">
        <v>83</v>
      </c>
      <c r="P62" s="0" t="n">
        <v>6</v>
      </c>
      <c r="Q62" s="5" t="n">
        <v>75</v>
      </c>
      <c r="R62" s="4" t="n">
        <v>45840</v>
      </c>
      <c r="S62" s="0" t="s">
        <v>449</v>
      </c>
      <c r="T62" s="0" t="n">
        <f aca="false">R62-J62</f>
        <v>6</v>
      </c>
      <c r="U62" s="5" t="n">
        <f aca="false">M62*N62</f>
        <v>2598</v>
      </c>
      <c r="V62" s="6" t="n">
        <f aca="false">IF(O62="FLAT5",5%,IF(O62="FLAT10",10%,IF(O62="FLAT15",15%,IF(O62="FLAT20",20%,0))))</f>
        <v>0.05</v>
      </c>
      <c r="W62" s="5" t="n">
        <f aca="false">U62*(1-V62)</f>
        <v>2468.1</v>
      </c>
      <c r="X62" s="5" t="n">
        <f aca="false">W62+IF(O62="DEL0",0,Q62)</f>
        <v>2543.1</v>
      </c>
      <c r="Y62" s="0" t="str">
        <f aca="false">B62&amp;" "&amp;C62</f>
        <v>Vikram Bhat</v>
      </c>
      <c r="Z62" s="0" t="str">
        <f aca="false">IF(T62&lt;P62,"BeforeTime",IF(T62=P62,"Intime","Late"))</f>
        <v>Intime</v>
      </c>
      <c r="AA62" s="0" t="str">
        <f aca="false">TEXT(J62,"mmm")</f>
        <v>Jun</v>
      </c>
      <c r="AB62" s="0" t="e">
        <f aca="false">xlookup(L62,Products!A:A,Products!B:B,"")</f>
        <v>#NAME?</v>
      </c>
    </row>
    <row r="63" customFormat="false" ht="15" hidden="false" customHeight="false" outlineLevel="0" collapsed="false">
      <c r="A63" s="0" t="s">
        <v>180</v>
      </c>
      <c r="B63" s="0" t="s">
        <v>147</v>
      </c>
      <c r="C63" s="0" t="s">
        <v>261</v>
      </c>
      <c r="D63" s="0" t="n">
        <v>35</v>
      </c>
      <c r="E63" s="0" t="s">
        <v>48</v>
      </c>
      <c r="F63" s="0" t="s">
        <v>124</v>
      </c>
      <c r="G63" s="0" t="s">
        <v>450</v>
      </c>
      <c r="H63" s="0" t="s">
        <v>451</v>
      </c>
      <c r="I63" s="0" t="s">
        <v>452</v>
      </c>
      <c r="J63" s="4" t="n">
        <v>45809</v>
      </c>
      <c r="K63" s="0" t="s">
        <v>453</v>
      </c>
      <c r="L63" s="0" t="s">
        <v>391</v>
      </c>
      <c r="M63" s="5" t="n">
        <v>3499</v>
      </c>
      <c r="N63" s="0" t="n">
        <v>3</v>
      </c>
      <c r="O63" s="0" t="s">
        <v>259</v>
      </c>
      <c r="P63" s="0" t="n">
        <v>2</v>
      </c>
      <c r="Q63" s="5" t="n">
        <v>60</v>
      </c>
      <c r="R63" s="4" t="n">
        <v>45815</v>
      </c>
      <c r="S63" s="0" t="s">
        <v>454</v>
      </c>
      <c r="T63" s="0" t="n">
        <f aca="false">R63-J63</f>
        <v>6</v>
      </c>
      <c r="U63" s="5" t="n">
        <f aca="false">M63*N63</f>
        <v>10497</v>
      </c>
      <c r="V63" s="6" t="n">
        <f aca="false">IF(O63="FLAT5",5%,IF(O63="FLAT10",10%,IF(O63="FLAT15",15%,IF(O63="FLAT20",20%,0))))</f>
        <v>0</v>
      </c>
      <c r="W63" s="5" t="n">
        <f aca="false">U63*(1-V63)</f>
        <v>10497</v>
      </c>
      <c r="X63" s="5" t="n">
        <f aca="false">W63+IF(O63="DEL0",0,Q63)</f>
        <v>10557</v>
      </c>
      <c r="Y63" s="0" t="str">
        <f aca="false">B63&amp;" "&amp;C63</f>
        <v>Pooja Kumar</v>
      </c>
      <c r="Z63" s="0" t="str">
        <f aca="false">IF(T63&lt;P63,"BeforeTime",IF(T63=P63,"Intime","Late"))</f>
        <v>Late</v>
      </c>
      <c r="AA63" s="0" t="str">
        <f aca="false">TEXT(J63,"mmm")</f>
        <v>Jun</v>
      </c>
      <c r="AB63" s="0" t="e">
        <f aca="false">xlookup(L63,Products!A:A,Products!B:B,"")</f>
        <v>#NAME?</v>
      </c>
    </row>
    <row r="64" customFormat="false" ht="15" hidden="false" customHeight="false" outlineLevel="0" collapsed="false">
      <c r="A64" s="0" t="s">
        <v>455</v>
      </c>
      <c r="B64" s="0" t="s">
        <v>122</v>
      </c>
      <c r="C64" s="0" t="s">
        <v>123</v>
      </c>
      <c r="D64" s="0" t="n">
        <v>58</v>
      </c>
      <c r="E64" s="0" t="s">
        <v>48</v>
      </c>
      <c r="F64" s="0" t="s">
        <v>37</v>
      </c>
      <c r="G64" s="0" t="s">
        <v>456</v>
      </c>
      <c r="H64" s="0" t="s">
        <v>457</v>
      </c>
      <c r="I64" s="0" t="s">
        <v>458</v>
      </c>
      <c r="J64" s="4" t="n">
        <v>46005</v>
      </c>
      <c r="K64" s="0" t="s">
        <v>145</v>
      </c>
      <c r="L64" s="0" t="s">
        <v>119</v>
      </c>
      <c r="M64" s="5" t="n">
        <v>899</v>
      </c>
      <c r="N64" s="0" t="n">
        <v>2</v>
      </c>
      <c r="O64" s="0" t="s">
        <v>43</v>
      </c>
      <c r="P64" s="0" t="n">
        <v>7</v>
      </c>
      <c r="Q64" s="5" t="n">
        <v>120</v>
      </c>
      <c r="R64" s="4" t="n">
        <v>46014</v>
      </c>
      <c r="S64" s="0" t="s">
        <v>459</v>
      </c>
      <c r="T64" s="0" t="n">
        <f aca="false">R64-J64</f>
        <v>9</v>
      </c>
      <c r="U64" s="5" t="n">
        <f aca="false">M64*N64</f>
        <v>1798</v>
      </c>
      <c r="V64" s="6" t="n">
        <f aca="false">IF(O64="FLAT5",5%,IF(O64="FLAT10",10%,IF(O64="FLAT15",15%,IF(O64="FLAT20",20%,0))))</f>
        <v>0.2</v>
      </c>
      <c r="W64" s="5" t="n">
        <f aca="false">U64*(1-V64)</f>
        <v>1438.4</v>
      </c>
      <c r="X64" s="5" t="n">
        <f aca="false">W64+IF(O64="DEL0",0,Q64)</f>
        <v>1558.4</v>
      </c>
      <c r="Y64" s="0" t="str">
        <f aca="false">B64&amp;" "&amp;C64</f>
        <v>Meera Nair</v>
      </c>
      <c r="Z64" s="0" t="str">
        <f aca="false">IF(T64&lt;P64,"BeforeTime",IF(T64=P64,"Intime","Late"))</f>
        <v>Late</v>
      </c>
      <c r="AA64" s="0" t="str">
        <f aca="false">TEXT(J64,"mmm")</f>
        <v>Dec</v>
      </c>
      <c r="AB64" s="0" t="e">
        <f aca="false">xlookup(L64,Products!A:A,Products!B:B,"")</f>
        <v>#NAME?</v>
      </c>
    </row>
    <row r="65" customFormat="false" ht="15" hidden="false" customHeight="false" outlineLevel="0" collapsed="false">
      <c r="A65" s="0" t="s">
        <v>460</v>
      </c>
      <c r="B65" s="0" t="s">
        <v>94</v>
      </c>
      <c r="C65" s="0" t="s">
        <v>417</v>
      </c>
      <c r="D65" s="0" t="n">
        <v>28</v>
      </c>
      <c r="E65" s="0" t="s">
        <v>36</v>
      </c>
      <c r="F65" s="0" t="s">
        <v>114</v>
      </c>
      <c r="G65" s="0" t="s">
        <v>461</v>
      </c>
      <c r="H65" s="0" t="s">
        <v>462</v>
      </c>
      <c r="I65" s="0" t="s">
        <v>463</v>
      </c>
      <c r="J65" s="4" t="n">
        <v>45725</v>
      </c>
      <c r="K65" s="0" t="s">
        <v>464</v>
      </c>
      <c r="L65" s="0" t="s">
        <v>391</v>
      </c>
      <c r="M65" s="5" t="n">
        <v>3499</v>
      </c>
      <c r="N65" s="0" t="n">
        <v>4</v>
      </c>
      <c r="O65" s="0" t="s">
        <v>83</v>
      </c>
      <c r="P65" s="0" t="n">
        <v>6</v>
      </c>
      <c r="Q65" s="5" t="n">
        <v>90</v>
      </c>
      <c r="R65" s="4" t="n">
        <v>45734</v>
      </c>
      <c r="S65" s="0" t="s">
        <v>465</v>
      </c>
      <c r="T65" s="0" t="n">
        <f aca="false">R65-J65</f>
        <v>9</v>
      </c>
      <c r="U65" s="5" t="n">
        <f aca="false">M65*N65</f>
        <v>13996</v>
      </c>
      <c r="V65" s="6" t="n">
        <f aca="false">IF(O65="FLAT5",5%,IF(O65="FLAT10",10%,IF(O65="FLAT15",15%,IF(O65="FLAT20",20%,0))))</f>
        <v>0.05</v>
      </c>
      <c r="W65" s="5" t="n">
        <f aca="false">U65*(1-V65)</f>
        <v>13296.2</v>
      </c>
      <c r="X65" s="5" t="n">
        <f aca="false">W65+IF(O65="DEL0",0,Q65)</f>
        <v>13386.2</v>
      </c>
      <c r="Y65" s="0" t="str">
        <f aca="false">B65&amp;" "&amp;C65</f>
        <v>Manoj Mehta</v>
      </c>
      <c r="Z65" s="0" t="str">
        <f aca="false">IF(T65&lt;P65,"BeforeTime",IF(T65=P65,"Intime","Late"))</f>
        <v>Late</v>
      </c>
      <c r="AA65" s="0" t="str">
        <f aca="false">TEXT(J65,"mmm")</f>
        <v>Mar</v>
      </c>
      <c r="AB65" s="0" t="e">
        <f aca="false">xlookup(L65,Products!A:A,Products!B:B,"")</f>
        <v>#NAME?</v>
      </c>
    </row>
    <row r="66" customFormat="false" ht="15" hidden="false" customHeight="false" outlineLevel="0" collapsed="false">
      <c r="A66" s="0" t="s">
        <v>466</v>
      </c>
      <c r="B66" s="0" t="s">
        <v>122</v>
      </c>
      <c r="C66" s="0" t="s">
        <v>229</v>
      </c>
      <c r="D66" s="0" t="n">
        <v>27</v>
      </c>
      <c r="E66" s="0" t="s">
        <v>48</v>
      </c>
      <c r="F66" s="0" t="s">
        <v>140</v>
      </c>
      <c r="G66" s="0" t="s">
        <v>467</v>
      </c>
      <c r="H66" s="0" t="s">
        <v>468</v>
      </c>
      <c r="I66" s="0" t="s">
        <v>469</v>
      </c>
      <c r="J66" s="4" t="n">
        <v>46003</v>
      </c>
      <c r="K66" s="0" t="s">
        <v>470</v>
      </c>
      <c r="L66" s="0" t="s">
        <v>42</v>
      </c>
      <c r="M66" s="5" t="n">
        <v>2199</v>
      </c>
      <c r="N66" s="0" t="n">
        <v>2</v>
      </c>
      <c r="O66" s="0" t="s">
        <v>259</v>
      </c>
      <c r="P66" s="0" t="n">
        <v>5</v>
      </c>
      <c r="Q66" s="5" t="n">
        <v>40</v>
      </c>
      <c r="R66" s="4" t="n">
        <v>46011</v>
      </c>
      <c r="S66" s="0" t="s">
        <v>109</v>
      </c>
      <c r="T66" s="0" t="n">
        <f aca="false">R66-J66</f>
        <v>8</v>
      </c>
      <c r="U66" s="5" t="n">
        <f aca="false">M66*N66</f>
        <v>4398</v>
      </c>
      <c r="V66" s="6" t="n">
        <f aca="false">IF(O66="FLAT5",5%,IF(O66="FLAT10",10%,IF(O66="FLAT15",15%,IF(O66="FLAT20",20%,0))))</f>
        <v>0</v>
      </c>
      <c r="W66" s="5" t="n">
        <f aca="false">U66*(1-V66)</f>
        <v>4398</v>
      </c>
      <c r="X66" s="5" t="n">
        <f aca="false">W66+IF(O66="DEL0",0,Q66)</f>
        <v>4438</v>
      </c>
      <c r="Y66" s="0" t="str">
        <f aca="false">B66&amp;" "&amp;C66</f>
        <v>Meera Joshi</v>
      </c>
      <c r="Z66" s="0" t="str">
        <f aca="false">IF(T66&lt;P66,"BeforeTime",IF(T66=P66,"Intime","Late"))</f>
        <v>Late</v>
      </c>
      <c r="AA66" s="0" t="str">
        <f aca="false">TEXT(J66,"mmm")</f>
        <v>Dec</v>
      </c>
      <c r="AB66" s="0" t="e">
        <f aca="false">xlookup(L66,Products!A:A,Products!B:B,"")</f>
        <v>#NAME?</v>
      </c>
    </row>
    <row r="67" customFormat="false" ht="15" hidden="false" customHeight="false" outlineLevel="0" collapsed="false">
      <c r="A67" s="0" t="s">
        <v>471</v>
      </c>
      <c r="B67" s="0" t="s">
        <v>67</v>
      </c>
      <c r="C67" s="0" t="s">
        <v>181</v>
      </c>
      <c r="D67" s="0" t="n">
        <v>57</v>
      </c>
      <c r="E67" s="0" t="s">
        <v>48</v>
      </c>
      <c r="F67" s="0" t="s">
        <v>59</v>
      </c>
      <c r="G67" s="0" t="s">
        <v>472</v>
      </c>
      <c r="H67" s="0" t="s">
        <v>149</v>
      </c>
      <c r="I67" s="0" t="s">
        <v>473</v>
      </c>
      <c r="J67" s="4" t="n">
        <v>45975</v>
      </c>
      <c r="K67" s="0" t="s">
        <v>474</v>
      </c>
      <c r="L67" s="0" t="s">
        <v>129</v>
      </c>
      <c r="M67" s="5" t="n">
        <v>2999</v>
      </c>
      <c r="N67" s="0" t="n">
        <v>2</v>
      </c>
      <c r="O67" s="0" t="s">
        <v>101</v>
      </c>
      <c r="P67" s="0" t="n">
        <v>6</v>
      </c>
      <c r="Q67" s="5" t="n">
        <v>90</v>
      </c>
      <c r="R67" s="4" t="n">
        <v>45981</v>
      </c>
      <c r="S67" s="0" t="s">
        <v>171</v>
      </c>
      <c r="T67" s="0" t="n">
        <f aca="false">R67-J67</f>
        <v>6</v>
      </c>
      <c r="U67" s="5" t="n">
        <f aca="false">M67*N67</f>
        <v>5998</v>
      </c>
      <c r="V67" s="6" t="n">
        <f aca="false">IF(O67="FLAT5",5%,IF(O67="FLAT10",10%,IF(O67="FLAT15",15%,IF(O67="FLAT20",20%,0))))</f>
        <v>0.15</v>
      </c>
      <c r="W67" s="5" t="n">
        <f aca="false">U67*(1-V67)</f>
        <v>5098.3</v>
      </c>
      <c r="X67" s="5" t="n">
        <f aca="false">W67+IF(O67="DEL0",0,Q67)</f>
        <v>5188.3</v>
      </c>
      <c r="Y67" s="0" t="str">
        <f aca="false">B67&amp;" "&amp;C67</f>
        <v>Priya Gupta</v>
      </c>
      <c r="Z67" s="0" t="str">
        <f aca="false">IF(T67&lt;P67,"BeforeTime",IF(T67=P67,"Intime","Late"))</f>
        <v>Intime</v>
      </c>
      <c r="AA67" s="0" t="str">
        <f aca="false">TEXT(J67,"mmm")</f>
        <v>Nov</v>
      </c>
      <c r="AB67" s="0" t="e">
        <f aca="false">xlookup(L67,Products!A:A,Products!B:B,"")</f>
        <v>#NAME?</v>
      </c>
    </row>
    <row r="68" customFormat="false" ht="15" hidden="false" customHeight="false" outlineLevel="0" collapsed="false">
      <c r="A68" s="0" t="s">
        <v>475</v>
      </c>
      <c r="B68" s="0" t="s">
        <v>122</v>
      </c>
      <c r="C68" s="0" t="s">
        <v>95</v>
      </c>
      <c r="D68" s="0" t="n">
        <v>27</v>
      </c>
      <c r="E68" s="0" t="s">
        <v>36</v>
      </c>
      <c r="F68" s="0" t="s">
        <v>202</v>
      </c>
      <c r="G68" s="0" t="s">
        <v>476</v>
      </c>
      <c r="H68" s="0" t="s">
        <v>477</v>
      </c>
      <c r="I68" s="0" t="s">
        <v>478</v>
      </c>
      <c r="J68" s="4" t="n">
        <v>45717</v>
      </c>
      <c r="K68" s="0" t="s">
        <v>479</v>
      </c>
      <c r="L68" s="0" t="s">
        <v>110</v>
      </c>
      <c r="M68" s="5" t="n">
        <v>1499</v>
      </c>
      <c r="N68" s="0" t="n">
        <v>3</v>
      </c>
      <c r="O68" s="0" t="s">
        <v>259</v>
      </c>
      <c r="P68" s="0" t="n">
        <v>2</v>
      </c>
      <c r="Q68" s="5" t="n">
        <v>90</v>
      </c>
      <c r="R68" s="4" t="n">
        <v>45719</v>
      </c>
      <c r="S68" s="0" t="s">
        <v>480</v>
      </c>
      <c r="T68" s="0" t="n">
        <f aca="false">R68-J68</f>
        <v>2</v>
      </c>
      <c r="U68" s="5" t="n">
        <f aca="false">M68*N68</f>
        <v>4497</v>
      </c>
      <c r="V68" s="6" t="n">
        <f aca="false">IF(O68="FLAT5",5%,IF(O68="FLAT10",10%,IF(O68="FLAT15",15%,IF(O68="FLAT20",20%,0))))</f>
        <v>0</v>
      </c>
      <c r="W68" s="5" t="n">
        <f aca="false">U68*(1-V68)</f>
        <v>4497</v>
      </c>
      <c r="X68" s="5" t="n">
        <f aca="false">W68+IF(O68="DEL0",0,Q68)</f>
        <v>4587</v>
      </c>
      <c r="Y68" s="0" t="str">
        <f aca="false">B68&amp;" "&amp;C68</f>
        <v>Meera Mishra</v>
      </c>
      <c r="Z68" s="0" t="str">
        <f aca="false">IF(T68&lt;P68,"BeforeTime",IF(T68=P68,"Intime","Late"))</f>
        <v>Intime</v>
      </c>
      <c r="AA68" s="0" t="str">
        <f aca="false">TEXT(J68,"mmm")</f>
        <v>Mar</v>
      </c>
      <c r="AB68" s="0" t="e">
        <f aca="false">xlookup(L68,Products!A:A,Products!B:B,"")</f>
        <v>#NAME?</v>
      </c>
    </row>
    <row r="69" customFormat="false" ht="15" hidden="false" customHeight="false" outlineLevel="0" collapsed="false">
      <c r="A69" s="0" t="s">
        <v>481</v>
      </c>
      <c r="B69" s="0" t="s">
        <v>46</v>
      </c>
      <c r="C69" s="0" t="s">
        <v>95</v>
      </c>
      <c r="D69" s="0" t="n">
        <v>57</v>
      </c>
      <c r="E69" s="0" t="s">
        <v>36</v>
      </c>
      <c r="F69" s="0" t="s">
        <v>160</v>
      </c>
      <c r="G69" s="0" t="s">
        <v>482</v>
      </c>
      <c r="H69" s="0" t="s">
        <v>483</v>
      </c>
      <c r="I69" s="0" t="s">
        <v>484</v>
      </c>
      <c r="J69" s="4" t="n">
        <v>45973</v>
      </c>
      <c r="K69" s="0" t="s">
        <v>485</v>
      </c>
      <c r="L69" s="0" t="s">
        <v>119</v>
      </c>
      <c r="M69" s="5" t="n">
        <v>899</v>
      </c>
      <c r="N69" s="0" t="n">
        <v>1</v>
      </c>
      <c r="O69" s="0" t="s">
        <v>54</v>
      </c>
      <c r="P69" s="0" t="n">
        <v>5</v>
      </c>
      <c r="Q69" s="5" t="n">
        <v>0</v>
      </c>
      <c r="R69" s="4" t="n">
        <v>45981</v>
      </c>
      <c r="S69" s="0" t="s">
        <v>486</v>
      </c>
      <c r="T69" s="0" t="n">
        <f aca="false">R69-J69</f>
        <v>8</v>
      </c>
      <c r="U69" s="5" t="n">
        <f aca="false">M69*N69</f>
        <v>899</v>
      </c>
      <c r="V69" s="6" t="n">
        <f aca="false">IF(O69="FLAT5",5%,IF(O69="FLAT10",10%,IF(O69="FLAT15",15%,IF(O69="FLAT20",20%,0))))</f>
        <v>0</v>
      </c>
      <c r="W69" s="5" t="n">
        <f aca="false">U69*(1-V69)</f>
        <v>899</v>
      </c>
      <c r="X69" s="5" t="n">
        <f aca="false">W69+IF(O69="DEL0",0,Q69)</f>
        <v>899</v>
      </c>
      <c r="Y69" s="0" t="str">
        <f aca="false">B69&amp;" "&amp;C69</f>
        <v>Sanjana Mishra</v>
      </c>
      <c r="Z69" s="0" t="str">
        <f aca="false">IF(T69&lt;P69,"BeforeTime",IF(T69=P69,"Intime","Late"))</f>
        <v>Late</v>
      </c>
      <c r="AA69" s="0" t="str">
        <f aca="false">TEXT(J69,"mmm")</f>
        <v>Nov</v>
      </c>
      <c r="AB69" s="0" t="e">
        <f aca="false">xlookup(L69,Products!A:A,Products!B:B,"")</f>
        <v>#NAME?</v>
      </c>
    </row>
    <row r="70" customFormat="false" ht="15" hidden="false" customHeight="false" outlineLevel="0" collapsed="false">
      <c r="A70" s="0" t="s">
        <v>343</v>
      </c>
      <c r="B70" s="0" t="s">
        <v>67</v>
      </c>
      <c r="C70" s="0" t="s">
        <v>261</v>
      </c>
      <c r="D70" s="0" t="n">
        <v>43</v>
      </c>
      <c r="E70" s="0" t="s">
        <v>48</v>
      </c>
      <c r="F70" s="0" t="s">
        <v>202</v>
      </c>
      <c r="G70" s="0" t="s">
        <v>487</v>
      </c>
      <c r="H70" s="0" t="s">
        <v>488</v>
      </c>
      <c r="I70" s="0" t="s">
        <v>489</v>
      </c>
      <c r="J70" s="4" t="n">
        <v>45720</v>
      </c>
      <c r="K70" s="0" t="s">
        <v>490</v>
      </c>
      <c r="L70" s="0" t="s">
        <v>136</v>
      </c>
      <c r="M70" s="5" t="n">
        <v>1799</v>
      </c>
      <c r="N70" s="0" t="n">
        <v>3</v>
      </c>
      <c r="O70" s="0" t="s">
        <v>91</v>
      </c>
      <c r="P70" s="0" t="n">
        <v>5</v>
      </c>
      <c r="Q70" s="5" t="n">
        <v>120</v>
      </c>
      <c r="R70" s="4" t="n">
        <v>45722</v>
      </c>
      <c r="S70" s="0" t="s">
        <v>491</v>
      </c>
      <c r="T70" s="0" t="n">
        <f aca="false">R70-J70</f>
        <v>2</v>
      </c>
      <c r="U70" s="5" t="n">
        <f aca="false">M70*N70</f>
        <v>5397</v>
      </c>
      <c r="V70" s="6" t="n">
        <f aca="false">IF(O70="FLAT5",5%,IF(O70="FLAT10",10%,IF(O70="FLAT15",15%,IF(O70="FLAT20",20%,0))))</f>
        <v>0.1</v>
      </c>
      <c r="W70" s="5" t="n">
        <f aca="false">U70*(1-V70)</f>
        <v>4857.3</v>
      </c>
      <c r="X70" s="5" t="n">
        <f aca="false">W70+IF(O70="DEL0",0,Q70)</f>
        <v>4977.3</v>
      </c>
      <c r="Y70" s="0" t="str">
        <f aca="false">B70&amp;" "&amp;C70</f>
        <v>Priya Kumar</v>
      </c>
      <c r="Z70" s="0" t="str">
        <f aca="false">IF(T70&lt;P70,"BeforeTime",IF(T70=P70,"Intime","Late"))</f>
        <v>BeforeTime</v>
      </c>
      <c r="AA70" s="0" t="str">
        <f aca="false">TEXT(J70,"mmm")</f>
        <v>Mar</v>
      </c>
      <c r="AB70" s="0" t="e">
        <f aca="false">xlookup(L70,Products!A:A,Products!B:B,"")</f>
        <v>#NAME?</v>
      </c>
    </row>
    <row r="71" customFormat="false" ht="15" hidden="false" customHeight="false" outlineLevel="0" collapsed="false">
      <c r="A71" s="0" t="s">
        <v>138</v>
      </c>
      <c r="B71" s="0" t="s">
        <v>209</v>
      </c>
      <c r="C71" s="0" t="s">
        <v>47</v>
      </c>
      <c r="D71" s="0" t="n">
        <v>24</v>
      </c>
      <c r="E71" s="0" t="s">
        <v>36</v>
      </c>
      <c r="F71" s="0" t="s">
        <v>124</v>
      </c>
      <c r="G71" s="0" t="s">
        <v>492</v>
      </c>
      <c r="H71" s="0" t="s">
        <v>493</v>
      </c>
      <c r="I71" s="0" t="s">
        <v>494</v>
      </c>
      <c r="J71" s="4" t="n">
        <v>45733</v>
      </c>
      <c r="K71" s="0" t="s">
        <v>495</v>
      </c>
      <c r="L71" s="0" t="s">
        <v>100</v>
      </c>
      <c r="M71" s="5" t="n">
        <v>999</v>
      </c>
      <c r="N71" s="0" t="n">
        <v>2</v>
      </c>
      <c r="O71" s="0" t="s">
        <v>91</v>
      </c>
      <c r="P71" s="0" t="n">
        <v>6</v>
      </c>
      <c r="Q71" s="5" t="n">
        <v>50</v>
      </c>
      <c r="R71" s="4" t="n">
        <v>45735</v>
      </c>
      <c r="S71" s="0" t="s">
        <v>496</v>
      </c>
      <c r="T71" s="0" t="n">
        <f aca="false">R71-J71</f>
        <v>2</v>
      </c>
      <c r="U71" s="5" t="n">
        <f aca="false">M71*N71</f>
        <v>1998</v>
      </c>
      <c r="V71" s="6" t="n">
        <f aca="false">IF(O71="FLAT5",5%,IF(O71="FLAT10",10%,IF(O71="FLAT15",15%,IF(O71="FLAT20",20%,0))))</f>
        <v>0.1</v>
      </c>
      <c r="W71" s="5" t="n">
        <f aca="false">U71*(1-V71)</f>
        <v>1798.2</v>
      </c>
      <c r="X71" s="5" t="n">
        <f aca="false">W71+IF(O71="DEL0",0,Q71)</f>
        <v>1848.2</v>
      </c>
      <c r="Y71" s="0" t="str">
        <f aca="false">B71&amp;" "&amp;C71</f>
        <v>Ishaan Verma</v>
      </c>
      <c r="Z71" s="0" t="str">
        <f aca="false">IF(T71&lt;P71,"BeforeTime",IF(T71=P71,"Intime","Late"))</f>
        <v>BeforeTime</v>
      </c>
      <c r="AA71" s="0" t="str">
        <f aca="false">TEXT(J71,"mmm")</f>
        <v>Mar</v>
      </c>
      <c r="AB71" s="0" t="e">
        <f aca="false">xlookup(L71,Products!A:A,Products!B:B,"")</f>
        <v>#NAME?</v>
      </c>
    </row>
    <row r="72" customFormat="false" ht="15" hidden="false" customHeight="false" outlineLevel="0" collapsed="false">
      <c r="A72" s="0" t="s">
        <v>497</v>
      </c>
      <c r="B72" s="0" t="s">
        <v>139</v>
      </c>
      <c r="C72" s="0" t="s">
        <v>417</v>
      </c>
      <c r="D72" s="0" t="n">
        <v>35</v>
      </c>
      <c r="E72" s="0" t="s">
        <v>48</v>
      </c>
      <c r="F72" s="0" t="s">
        <v>202</v>
      </c>
      <c r="G72" s="0" t="s">
        <v>498</v>
      </c>
      <c r="H72" s="0" t="s">
        <v>499</v>
      </c>
      <c r="I72" s="0" t="s">
        <v>500</v>
      </c>
      <c r="J72" s="4" t="n">
        <v>45873</v>
      </c>
      <c r="K72" s="0" t="s">
        <v>185</v>
      </c>
      <c r="L72" s="0" t="s">
        <v>42</v>
      </c>
      <c r="M72" s="5" t="n">
        <v>2199</v>
      </c>
      <c r="N72" s="0" t="n">
        <v>3</v>
      </c>
      <c r="O72" s="0" t="s">
        <v>83</v>
      </c>
      <c r="P72" s="0" t="n">
        <v>6</v>
      </c>
      <c r="Q72" s="5" t="n">
        <v>75</v>
      </c>
      <c r="R72" s="4" t="n">
        <v>45874</v>
      </c>
      <c r="S72" s="0" t="s">
        <v>501</v>
      </c>
      <c r="T72" s="0" t="n">
        <f aca="false">R72-J72</f>
        <v>1</v>
      </c>
      <c r="U72" s="5" t="n">
        <f aca="false">M72*N72</f>
        <v>6597</v>
      </c>
      <c r="V72" s="6" t="n">
        <f aca="false">IF(O72="FLAT5",5%,IF(O72="FLAT10",10%,IF(O72="FLAT15",15%,IF(O72="FLAT20",20%,0))))</f>
        <v>0.05</v>
      </c>
      <c r="W72" s="5" t="n">
        <f aca="false">U72*(1-V72)</f>
        <v>6267.15</v>
      </c>
      <c r="X72" s="5" t="n">
        <f aca="false">W72+IF(O72="DEL0",0,Q72)</f>
        <v>6342.15</v>
      </c>
      <c r="Y72" s="0" t="str">
        <f aca="false">B72&amp;" "&amp;C72</f>
        <v>Aarav Mehta</v>
      </c>
      <c r="Z72" s="0" t="str">
        <f aca="false">IF(T72&lt;P72,"BeforeTime",IF(T72=P72,"Intime","Late"))</f>
        <v>BeforeTime</v>
      </c>
      <c r="AA72" s="0" t="str">
        <f aca="false">TEXT(J72,"mmm")</f>
        <v>Aug</v>
      </c>
      <c r="AB72" s="0" t="e">
        <f aca="false">xlookup(L72,Products!A:A,Products!B:B,"")</f>
        <v>#NAME?</v>
      </c>
    </row>
    <row r="73" customFormat="false" ht="15" hidden="false" customHeight="false" outlineLevel="0" collapsed="false">
      <c r="A73" s="0" t="s">
        <v>502</v>
      </c>
      <c r="B73" s="0" t="s">
        <v>405</v>
      </c>
      <c r="C73" s="0" t="s">
        <v>210</v>
      </c>
      <c r="D73" s="0" t="n">
        <v>53</v>
      </c>
      <c r="E73" s="0" t="s">
        <v>48</v>
      </c>
      <c r="F73" s="0" t="s">
        <v>248</v>
      </c>
      <c r="G73" s="0" t="s">
        <v>503</v>
      </c>
      <c r="H73" s="0" t="s">
        <v>429</v>
      </c>
      <c r="I73" s="0" t="s">
        <v>504</v>
      </c>
      <c r="J73" s="4" t="n">
        <v>45903</v>
      </c>
      <c r="K73" s="0" t="s">
        <v>505</v>
      </c>
      <c r="L73" s="0" t="s">
        <v>119</v>
      </c>
      <c r="M73" s="5" t="n">
        <v>899</v>
      </c>
      <c r="N73" s="0" t="n">
        <v>1</v>
      </c>
      <c r="O73" s="0" t="s">
        <v>83</v>
      </c>
      <c r="P73" s="0" t="n">
        <v>5</v>
      </c>
      <c r="Q73" s="5" t="n">
        <v>40</v>
      </c>
      <c r="R73" s="4" t="n">
        <v>45908</v>
      </c>
      <c r="S73" s="0" t="s">
        <v>506</v>
      </c>
      <c r="T73" s="0" t="n">
        <f aca="false">R73-J73</f>
        <v>5</v>
      </c>
      <c r="U73" s="5" t="n">
        <f aca="false">M73*N73</f>
        <v>899</v>
      </c>
      <c r="V73" s="6" t="n">
        <f aca="false">IF(O73="FLAT5",5%,IF(O73="FLAT10",10%,IF(O73="FLAT15",15%,IF(O73="FLAT20",20%,0))))</f>
        <v>0.05</v>
      </c>
      <c r="W73" s="5" t="n">
        <f aca="false">U73*(1-V73)</f>
        <v>854.05</v>
      </c>
      <c r="X73" s="5" t="n">
        <f aca="false">W73+IF(O73="DEL0",0,Q73)</f>
        <v>894.05</v>
      </c>
      <c r="Y73" s="0" t="str">
        <f aca="false">B73&amp;" "&amp;C73</f>
        <v>Sneha Reddy</v>
      </c>
      <c r="Z73" s="0" t="str">
        <f aca="false">IF(T73&lt;P73,"BeforeTime",IF(T73=P73,"Intime","Late"))</f>
        <v>Intime</v>
      </c>
      <c r="AA73" s="0" t="str">
        <f aca="false">TEXT(J73,"mmm")</f>
        <v>Sep</v>
      </c>
      <c r="AB73" s="0" t="e">
        <f aca="false">xlookup(L73,Products!A:A,Products!B:B,"")</f>
        <v>#NAME?</v>
      </c>
    </row>
    <row r="74" customFormat="false" ht="15" hidden="false" customHeight="false" outlineLevel="0" collapsed="false">
      <c r="A74" s="0" t="s">
        <v>507</v>
      </c>
      <c r="B74" s="0" t="s">
        <v>104</v>
      </c>
      <c r="C74" s="0" t="s">
        <v>195</v>
      </c>
      <c r="D74" s="0" t="n">
        <v>24</v>
      </c>
      <c r="E74" s="0" t="s">
        <v>36</v>
      </c>
      <c r="F74" s="0" t="s">
        <v>114</v>
      </c>
      <c r="G74" s="0" t="s">
        <v>508</v>
      </c>
      <c r="H74" s="0" t="s">
        <v>509</v>
      </c>
      <c r="I74" s="0" t="s">
        <v>510</v>
      </c>
      <c r="J74" s="4" t="n">
        <v>45963</v>
      </c>
      <c r="K74" s="0" t="s">
        <v>480</v>
      </c>
      <c r="L74" s="0" t="s">
        <v>64</v>
      </c>
      <c r="M74" s="5" t="n">
        <v>2799</v>
      </c>
      <c r="N74" s="0" t="n">
        <v>3</v>
      </c>
      <c r="O74" s="0" t="s">
        <v>91</v>
      </c>
      <c r="P74" s="0" t="n">
        <v>6</v>
      </c>
      <c r="Q74" s="5" t="n">
        <v>90</v>
      </c>
      <c r="R74" s="4" t="n">
        <v>45969</v>
      </c>
      <c r="S74" s="0" t="s">
        <v>511</v>
      </c>
      <c r="T74" s="0" t="n">
        <f aca="false">R74-J74</f>
        <v>6</v>
      </c>
      <c r="U74" s="5" t="n">
        <f aca="false">M74*N74</f>
        <v>8397</v>
      </c>
      <c r="V74" s="6" t="n">
        <f aca="false">IF(O74="FLAT5",5%,IF(O74="FLAT10",10%,IF(O74="FLAT15",15%,IF(O74="FLAT20",20%,0))))</f>
        <v>0.1</v>
      </c>
      <c r="W74" s="5" t="n">
        <f aca="false">U74*(1-V74)</f>
        <v>7557.3</v>
      </c>
      <c r="X74" s="5" t="n">
        <f aca="false">W74+IF(O74="DEL0",0,Q74)</f>
        <v>7647.3</v>
      </c>
      <c r="Y74" s="0" t="str">
        <f aca="false">B74&amp;" "&amp;C74</f>
        <v>Keerthi Singh</v>
      </c>
      <c r="Z74" s="0" t="str">
        <f aca="false">IF(T74&lt;P74,"BeforeTime",IF(T74=P74,"Intime","Late"))</f>
        <v>Intime</v>
      </c>
      <c r="AA74" s="0" t="str">
        <f aca="false">TEXT(J74,"mmm")</f>
        <v>Nov</v>
      </c>
      <c r="AB74" s="0" t="e">
        <f aca="false">xlookup(L74,Products!A:A,Products!B:B,"")</f>
        <v>#NAME?</v>
      </c>
    </row>
    <row r="75" customFormat="false" ht="15" hidden="false" customHeight="false" outlineLevel="0" collapsed="false">
      <c r="A75" s="0" t="s">
        <v>512</v>
      </c>
      <c r="B75" s="0" t="s">
        <v>46</v>
      </c>
      <c r="C75" s="0" t="s">
        <v>47</v>
      </c>
      <c r="D75" s="0" t="n">
        <v>47</v>
      </c>
      <c r="E75" s="0" t="s">
        <v>48</v>
      </c>
      <c r="F75" s="0" t="s">
        <v>37</v>
      </c>
      <c r="G75" s="0" t="s">
        <v>513</v>
      </c>
      <c r="H75" s="0" t="s">
        <v>514</v>
      </c>
      <c r="I75" s="0" t="s">
        <v>515</v>
      </c>
      <c r="J75" s="4" t="n">
        <v>45862</v>
      </c>
      <c r="K75" s="0" t="s">
        <v>516</v>
      </c>
      <c r="L75" s="0" t="s">
        <v>136</v>
      </c>
      <c r="M75" s="5" t="n">
        <v>1799</v>
      </c>
      <c r="N75" s="0" t="n">
        <v>3</v>
      </c>
      <c r="O75" s="0" t="s">
        <v>54</v>
      </c>
      <c r="P75" s="0" t="n">
        <v>5</v>
      </c>
      <c r="Q75" s="5" t="n">
        <v>0</v>
      </c>
      <c r="R75" s="4" t="n">
        <v>45867</v>
      </c>
      <c r="S75" s="0" t="s">
        <v>517</v>
      </c>
      <c r="T75" s="0" t="n">
        <f aca="false">R75-J75</f>
        <v>5</v>
      </c>
      <c r="U75" s="5" t="n">
        <f aca="false">M75*N75</f>
        <v>5397</v>
      </c>
      <c r="V75" s="6" t="n">
        <f aca="false">IF(O75="FLAT5",5%,IF(O75="FLAT10",10%,IF(O75="FLAT15",15%,IF(O75="FLAT20",20%,0))))</f>
        <v>0</v>
      </c>
      <c r="W75" s="5" t="n">
        <f aca="false">U75*(1-V75)</f>
        <v>5397</v>
      </c>
      <c r="X75" s="5" t="n">
        <f aca="false">W75+IF(O75="DEL0",0,Q75)</f>
        <v>5397</v>
      </c>
      <c r="Y75" s="0" t="str">
        <f aca="false">B75&amp;" "&amp;C75</f>
        <v>Sanjana Verma</v>
      </c>
      <c r="Z75" s="0" t="str">
        <f aca="false">IF(T75&lt;P75,"BeforeTime",IF(T75=P75,"Intime","Late"))</f>
        <v>Intime</v>
      </c>
      <c r="AA75" s="0" t="str">
        <f aca="false">TEXT(J75,"mmm")</f>
        <v>Jul</v>
      </c>
      <c r="AB75" s="0" t="e">
        <f aca="false">xlookup(L75,Products!A:A,Products!B:B,"")</f>
        <v>#NAME?</v>
      </c>
    </row>
    <row r="76" customFormat="false" ht="15" hidden="false" customHeight="false" outlineLevel="0" collapsed="false">
      <c r="A76" s="0" t="s">
        <v>411</v>
      </c>
      <c r="B76" s="0" t="s">
        <v>147</v>
      </c>
      <c r="C76" s="0" t="s">
        <v>76</v>
      </c>
      <c r="D76" s="0" t="n">
        <v>25</v>
      </c>
      <c r="E76" s="0" t="s">
        <v>36</v>
      </c>
      <c r="F76" s="0" t="s">
        <v>140</v>
      </c>
      <c r="G76" s="0" t="s">
        <v>518</v>
      </c>
      <c r="H76" s="0" t="s">
        <v>519</v>
      </c>
      <c r="I76" s="0" t="s">
        <v>520</v>
      </c>
      <c r="J76" s="4" t="n">
        <v>45848</v>
      </c>
      <c r="K76" s="0" t="s">
        <v>479</v>
      </c>
      <c r="L76" s="0" t="s">
        <v>136</v>
      </c>
      <c r="M76" s="5" t="n">
        <v>1799</v>
      </c>
      <c r="N76" s="0" t="n">
        <v>1</v>
      </c>
      <c r="O76" s="0" t="s">
        <v>54</v>
      </c>
      <c r="P76" s="0" t="n">
        <v>3</v>
      </c>
      <c r="Q76" s="5" t="n">
        <v>0</v>
      </c>
      <c r="R76" s="4" t="n">
        <v>45851</v>
      </c>
      <c r="S76" s="0" t="s">
        <v>521</v>
      </c>
      <c r="T76" s="0" t="n">
        <f aca="false">R76-J76</f>
        <v>3</v>
      </c>
      <c r="U76" s="5" t="n">
        <f aca="false">M76*N76</f>
        <v>1799</v>
      </c>
      <c r="V76" s="6" t="n">
        <f aca="false">IF(O76="FLAT5",5%,IF(O76="FLAT10",10%,IF(O76="FLAT15",15%,IF(O76="FLAT20",20%,0))))</f>
        <v>0</v>
      </c>
      <c r="W76" s="5" t="n">
        <f aca="false">U76*(1-V76)</f>
        <v>1799</v>
      </c>
      <c r="X76" s="5" t="n">
        <f aca="false">W76+IF(O76="DEL0",0,Q76)</f>
        <v>1799</v>
      </c>
      <c r="Y76" s="0" t="str">
        <f aca="false">B76&amp;" "&amp;C76</f>
        <v>Pooja Patel</v>
      </c>
      <c r="Z76" s="0" t="str">
        <f aca="false">IF(T76&lt;P76,"BeforeTime",IF(T76=P76,"Intime","Late"))</f>
        <v>Intime</v>
      </c>
      <c r="AA76" s="0" t="str">
        <f aca="false">TEXT(J76,"mmm")</f>
        <v>Jul</v>
      </c>
      <c r="AB76" s="0" t="e">
        <f aca="false">xlookup(L76,Products!A:A,Products!B:B,"")</f>
        <v>#NAME?</v>
      </c>
    </row>
    <row r="77" customFormat="false" ht="15" hidden="false" customHeight="false" outlineLevel="0" collapsed="false">
      <c r="A77" s="0" t="s">
        <v>522</v>
      </c>
      <c r="B77" s="0" t="s">
        <v>67</v>
      </c>
      <c r="C77" s="0" t="s">
        <v>95</v>
      </c>
      <c r="D77" s="0" t="n">
        <v>23</v>
      </c>
      <c r="E77" s="0" t="s">
        <v>48</v>
      </c>
      <c r="F77" s="0" t="s">
        <v>124</v>
      </c>
      <c r="G77" s="0" t="s">
        <v>523</v>
      </c>
      <c r="H77" s="0" t="s">
        <v>212</v>
      </c>
      <c r="I77" s="0" t="s">
        <v>524</v>
      </c>
      <c r="J77" s="4" t="n">
        <v>45917</v>
      </c>
      <c r="K77" s="0" t="s">
        <v>525</v>
      </c>
      <c r="L77" s="0" t="s">
        <v>72</v>
      </c>
      <c r="M77" s="5" t="n">
        <v>1299</v>
      </c>
      <c r="N77" s="0" t="n">
        <v>3</v>
      </c>
      <c r="O77" s="0" t="s">
        <v>83</v>
      </c>
      <c r="P77" s="0" t="n">
        <v>3</v>
      </c>
      <c r="Q77" s="5" t="n">
        <v>50</v>
      </c>
      <c r="R77" s="4" t="n">
        <v>45919</v>
      </c>
      <c r="S77" s="0" t="s">
        <v>526</v>
      </c>
      <c r="T77" s="0" t="n">
        <f aca="false">R77-J77</f>
        <v>2</v>
      </c>
      <c r="U77" s="5" t="n">
        <f aca="false">M77*N77</f>
        <v>3897</v>
      </c>
      <c r="V77" s="6" t="n">
        <f aca="false">IF(O77="FLAT5",5%,IF(O77="FLAT10",10%,IF(O77="FLAT15",15%,IF(O77="FLAT20",20%,0))))</f>
        <v>0.05</v>
      </c>
      <c r="W77" s="5" t="n">
        <f aca="false">U77*(1-V77)</f>
        <v>3702.15</v>
      </c>
      <c r="X77" s="5" t="n">
        <f aca="false">W77+IF(O77="DEL0",0,Q77)</f>
        <v>3752.15</v>
      </c>
      <c r="Y77" s="0" t="str">
        <f aca="false">B77&amp;" "&amp;C77</f>
        <v>Priya Mishra</v>
      </c>
      <c r="Z77" s="0" t="str">
        <f aca="false">IF(T77&lt;P77,"BeforeTime",IF(T77=P77,"Intime","Late"))</f>
        <v>BeforeTime</v>
      </c>
      <c r="AA77" s="0" t="str">
        <f aca="false">TEXT(J77,"mmm")</f>
        <v>Sep</v>
      </c>
      <c r="AB77" s="0" t="e">
        <f aca="false">xlookup(L77,Products!A:A,Products!B:B,"")</f>
        <v>#NAME?</v>
      </c>
    </row>
    <row r="78" customFormat="false" ht="15" hidden="false" customHeight="false" outlineLevel="0" collapsed="false">
      <c r="A78" s="0" t="s">
        <v>527</v>
      </c>
      <c r="B78" s="0" t="s">
        <v>75</v>
      </c>
      <c r="C78" s="0" t="s">
        <v>123</v>
      </c>
      <c r="D78" s="0" t="n">
        <v>47</v>
      </c>
      <c r="E78" s="0" t="s">
        <v>36</v>
      </c>
      <c r="F78" s="0" t="s">
        <v>124</v>
      </c>
      <c r="G78" s="0" t="s">
        <v>528</v>
      </c>
      <c r="H78" s="0" t="s">
        <v>529</v>
      </c>
      <c r="I78" s="0" t="s">
        <v>530</v>
      </c>
      <c r="J78" s="4" t="n">
        <v>45797</v>
      </c>
      <c r="K78" s="0" t="s">
        <v>531</v>
      </c>
      <c r="L78" s="0" t="s">
        <v>119</v>
      </c>
      <c r="M78" s="5" t="n">
        <v>899</v>
      </c>
      <c r="N78" s="0" t="n">
        <v>3</v>
      </c>
      <c r="O78" s="0" t="s">
        <v>83</v>
      </c>
      <c r="P78" s="0" t="n">
        <v>7</v>
      </c>
      <c r="Q78" s="5" t="n">
        <v>60</v>
      </c>
      <c r="R78" s="4" t="n">
        <v>45807</v>
      </c>
      <c r="S78" s="0" t="s">
        <v>532</v>
      </c>
      <c r="T78" s="0" t="n">
        <f aca="false">R78-J78</f>
        <v>10</v>
      </c>
      <c r="U78" s="5" t="n">
        <f aca="false">M78*N78</f>
        <v>2697</v>
      </c>
      <c r="V78" s="6" t="n">
        <f aca="false">IF(O78="FLAT5",5%,IF(O78="FLAT10",10%,IF(O78="FLAT15",15%,IF(O78="FLAT20",20%,0))))</f>
        <v>0.05</v>
      </c>
      <c r="W78" s="5" t="n">
        <f aca="false">U78*(1-V78)</f>
        <v>2562.15</v>
      </c>
      <c r="X78" s="5" t="n">
        <f aca="false">W78+IF(O78="DEL0",0,Q78)</f>
        <v>2622.15</v>
      </c>
      <c r="Y78" s="0" t="str">
        <f aca="false">B78&amp;" "&amp;C78</f>
        <v>Vikram Nair</v>
      </c>
      <c r="Z78" s="0" t="str">
        <f aca="false">IF(T78&lt;P78,"BeforeTime",IF(T78=P78,"Intime","Late"))</f>
        <v>Late</v>
      </c>
      <c r="AA78" s="0" t="str">
        <f aca="false">TEXT(J78,"mmm")</f>
        <v>May</v>
      </c>
      <c r="AB78" s="0" t="e">
        <f aca="false">xlookup(L78,Products!A:A,Products!B:B,"")</f>
        <v>#NAME?</v>
      </c>
    </row>
    <row r="79" customFormat="false" ht="15" hidden="false" customHeight="false" outlineLevel="0" collapsed="false">
      <c r="A79" s="0" t="s">
        <v>337</v>
      </c>
      <c r="B79" s="0" t="s">
        <v>209</v>
      </c>
      <c r="C79" s="0" t="s">
        <v>35</v>
      </c>
      <c r="D79" s="0" t="n">
        <v>25</v>
      </c>
      <c r="E79" s="0" t="s">
        <v>36</v>
      </c>
      <c r="F79" s="0" t="s">
        <v>160</v>
      </c>
      <c r="G79" s="0" t="s">
        <v>533</v>
      </c>
      <c r="H79" s="0" t="s">
        <v>534</v>
      </c>
      <c r="I79" s="0" t="s">
        <v>535</v>
      </c>
      <c r="J79" s="4" t="n">
        <v>45847</v>
      </c>
      <c r="K79" s="0" t="s">
        <v>536</v>
      </c>
      <c r="L79" s="0" t="s">
        <v>136</v>
      </c>
      <c r="M79" s="5" t="n">
        <v>1799</v>
      </c>
      <c r="N79" s="0" t="n">
        <v>4</v>
      </c>
      <c r="O79" s="0" t="s">
        <v>91</v>
      </c>
      <c r="P79" s="0" t="n">
        <v>4</v>
      </c>
      <c r="Q79" s="5" t="n">
        <v>90</v>
      </c>
      <c r="R79" s="4" t="n">
        <v>45851</v>
      </c>
      <c r="S79" s="0" t="s">
        <v>360</v>
      </c>
      <c r="T79" s="0" t="n">
        <f aca="false">R79-J79</f>
        <v>4</v>
      </c>
      <c r="U79" s="5" t="n">
        <f aca="false">M79*N79</f>
        <v>7196</v>
      </c>
      <c r="V79" s="6" t="n">
        <f aca="false">IF(O79="FLAT5",5%,IF(O79="FLAT10",10%,IF(O79="FLAT15",15%,IF(O79="FLAT20",20%,0))))</f>
        <v>0.1</v>
      </c>
      <c r="W79" s="5" t="n">
        <f aca="false">U79*(1-V79)</f>
        <v>6476.4</v>
      </c>
      <c r="X79" s="5" t="n">
        <f aca="false">W79+IF(O79="DEL0",0,Q79)</f>
        <v>6566.4</v>
      </c>
      <c r="Y79" s="0" t="str">
        <f aca="false">B79&amp;" "&amp;C79</f>
        <v>Ishaan Sharma</v>
      </c>
      <c r="Z79" s="0" t="str">
        <f aca="false">IF(T79&lt;P79,"BeforeTime",IF(T79=P79,"Intime","Late"))</f>
        <v>Intime</v>
      </c>
      <c r="AA79" s="0" t="str">
        <f aca="false">TEXT(J79,"mmm")</f>
        <v>Jul</v>
      </c>
      <c r="AB79" s="0" t="e">
        <f aca="false">xlookup(L79,Products!A:A,Products!B:B,"")</f>
        <v>#NAME?</v>
      </c>
    </row>
    <row r="80" customFormat="false" ht="15" hidden="false" customHeight="false" outlineLevel="0" collapsed="false">
      <c r="A80" s="0" t="s">
        <v>537</v>
      </c>
      <c r="B80" s="0" t="s">
        <v>57</v>
      </c>
      <c r="C80" s="0" t="s">
        <v>181</v>
      </c>
      <c r="D80" s="0" t="n">
        <v>48</v>
      </c>
      <c r="E80" s="0" t="s">
        <v>48</v>
      </c>
      <c r="F80" s="0" t="s">
        <v>248</v>
      </c>
      <c r="G80" s="0" t="s">
        <v>538</v>
      </c>
      <c r="H80" s="0" t="s">
        <v>539</v>
      </c>
      <c r="I80" s="0" t="s">
        <v>540</v>
      </c>
      <c r="J80" s="4" t="n">
        <v>45768</v>
      </c>
      <c r="K80" s="0" t="s">
        <v>541</v>
      </c>
      <c r="L80" s="0" t="s">
        <v>64</v>
      </c>
      <c r="M80" s="5" t="n">
        <v>2799</v>
      </c>
      <c r="N80" s="0" t="n">
        <v>4</v>
      </c>
      <c r="O80" s="0" t="s">
        <v>91</v>
      </c>
      <c r="P80" s="0" t="n">
        <v>6</v>
      </c>
      <c r="Q80" s="5" t="n">
        <v>40</v>
      </c>
      <c r="R80" s="4" t="n">
        <v>45772</v>
      </c>
      <c r="S80" s="0" t="s">
        <v>542</v>
      </c>
      <c r="T80" s="0" t="n">
        <f aca="false">R80-J80</f>
        <v>4</v>
      </c>
      <c r="U80" s="5" t="n">
        <f aca="false">M80*N80</f>
        <v>11196</v>
      </c>
      <c r="V80" s="6" t="n">
        <f aca="false">IF(O80="FLAT5",5%,IF(O80="FLAT10",10%,IF(O80="FLAT15",15%,IF(O80="FLAT20",20%,0))))</f>
        <v>0.1</v>
      </c>
      <c r="W80" s="5" t="n">
        <f aca="false">U80*(1-V80)</f>
        <v>10076.4</v>
      </c>
      <c r="X80" s="5" t="n">
        <f aca="false">W80+IF(O80="DEL0",0,Q80)</f>
        <v>10116.4</v>
      </c>
      <c r="Y80" s="0" t="str">
        <f aca="false">B80&amp;" "&amp;C80</f>
        <v>Arjun Gupta</v>
      </c>
      <c r="Z80" s="0" t="str">
        <f aca="false">IF(T80&lt;P80,"BeforeTime",IF(T80=P80,"Intime","Late"))</f>
        <v>BeforeTime</v>
      </c>
      <c r="AA80" s="0" t="str">
        <f aca="false">TEXT(J80,"mmm")</f>
        <v>Apr</v>
      </c>
      <c r="AB80" s="0" t="e">
        <f aca="false">xlookup(L80,Products!A:A,Products!B:B,"")</f>
        <v>#NAME?</v>
      </c>
    </row>
    <row r="81" customFormat="false" ht="15" hidden="false" customHeight="false" outlineLevel="0" collapsed="false">
      <c r="A81" s="0" t="s">
        <v>527</v>
      </c>
      <c r="B81" s="0" t="s">
        <v>174</v>
      </c>
      <c r="C81" s="0" t="s">
        <v>123</v>
      </c>
      <c r="D81" s="0" t="n">
        <v>45</v>
      </c>
      <c r="E81" s="0" t="s">
        <v>36</v>
      </c>
      <c r="F81" s="0" t="s">
        <v>202</v>
      </c>
      <c r="G81" s="0" t="s">
        <v>543</v>
      </c>
      <c r="H81" s="0" t="s">
        <v>544</v>
      </c>
      <c r="I81" s="0" t="s">
        <v>545</v>
      </c>
      <c r="J81" s="4" t="n">
        <v>45728</v>
      </c>
      <c r="K81" s="0" t="s">
        <v>546</v>
      </c>
      <c r="L81" s="0" t="s">
        <v>100</v>
      </c>
      <c r="M81" s="5" t="n">
        <v>999</v>
      </c>
      <c r="N81" s="0" t="n">
        <v>3</v>
      </c>
      <c r="O81" s="0" t="s">
        <v>259</v>
      </c>
      <c r="P81" s="0" t="n">
        <v>4</v>
      </c>
      <c r="Q81" s="5" t="n">
        <v>40</v>
      </c>
      <c r="R81" s="4" t="n">
        <v>45732</v>
      </c>
      <c r="S81" s="0" t="s">
        <v>287</v>
      </c>
      <c r="T81" s="0" t="n">
        <f aca="false">R81-J81</f>
        <v>4</v>
      </c>
      <c r="U81" s="5" t="n">
        <f aca="false">M81*N81</f>
        <v>2997</v>
      </c>
      <c r="V81" s="6" t="n">
        <f aca="false">IF(O81="FLAT5",5%,IF(O81="FLAT10",10%,IF(O81="FLAT15",15%,IF(O81="FLAT20",20%,0))))</f>
        <v>0</v>
      </c>
      <c r="W81" s="5" t="n">
        <f aca="false">U81*(1-V81)</f>
        <v>2997</v>
      </c>
      <c r="X81" s="5" t="n">
        <f aca="false">W81+IF(O81="DEL0",0,Q81)</f>
        <v>3037</v>
      </c>
      <c r="Y81" s="0" t="str">
        <f aca="false">B81&amp;" "&amp;C81</f>
        <v>Ananya Nair</v>
      </c>
      <c r="Z81" s="0" t="str">
        <f aca="false">IF(T81&lt;P81,"BeforeTime",IF(T81=P81,"Intime","Late"))</f>
        <v>Intime</v>
      </c>
      <c r="AA81" s="0" t="str">
        <f aca="false">TEXT(J81,"mmm")</f>
        <v>Mar</v>
      </c>
      <c r="AB81" s="0" t="e">
        <f aca="false">xlookup(L81,Products!A:A,Products!B:B,"")</f>
        <v>#NAME?</v>
      </c>
    </row>
    <row r="82" customFormat="false" ht="15" hidden="false" customHeight="false" outlineLevel="0" collapsed="false">
      <c r="A82" s="0" t="s">
        <v>547</v>
      </c>
      <c r="B82" s="0" t="s">
        <v>405</v>
      </c>
      <c r="C82" s="0" t="s">
        <v>417</v>
      </c>
      <c r="D82" s="0" t="n">
        <v>24</v>
      </c>
      <c r="E82" s="0" t="s">
        <v>48</v>
      </c>
      <c r="F82" s="0" t="s">
        <v>202</v>
      </c>
      <c r="G82" s="0" t="s">
        <v>548</v>
      </c>
      <c r="H82" s="0" t="s">
        <v>204</v>
      </c>
      <c r="I82" s="0" t="s">
        <v>549</v>
      </c>
      <c r="J82" s="4" t="n">
        <v>45697</v>
      </c>
      <c r="K82" s="0" t="s">
        <v>550</v>
      </c>
      <c r="L82" s="0" t="s">
        <v>136</v>
      </c>
      <c r="M82" s="5" t="n">
        <v>1799</v>
      </c>
      <c r="N82" s="0" t="n">
        <v>1</v>
      </c>
      <c r="O82" s="0" t="s">
        <v>101</v>
      </c>
      <c r="P82" s="0" t="n">
        <v>4</v>
      </c>
      <c r="Q82" s="5" t="n">
        <v>90</v>
      </c>
      <c r="R82" s="4" t="n">
        <v>45701</v>
      </c>
      <c r="S82" s="0" t="s">
        <v>551</v>
      </c>
      <c r="T82" s="0" t="n">
        <f aca="false">R82-J82</f>
        <v>4</v>
      </c>
      <c r="U82" s="5" t="n">
        <f aca="false">M82*N82</f>
        <v>1799</v>
      </c>
      <c r="V82" s="6" t="n">
        <f aca="false">IF(O82="FLAT5",5%,IF(O82="FLAT10",10%,IF(O82="FLAT15",15%,IF(O82="FLAT20",20%,0))))</f>
        <v>0.15</v>
      </c>
      <c r="W82" s="5" t="n">
        <f aca="false">U82*(1-V82)</f>
        <v>1529.15</v>
      </c>
      <c r="X82" s="5" t="n">
        <f aca="false">W82+IF(O82="DEL0",0,Q82)</f>
        <v>1619.15</v>
      </c>
      <c r="Y82" s="0" t="str">
        <f aca="false">B82&amp;" "&amp;C82</f>
        <v>Sneha Mehta</v>
      </c>
      <c r="Z82" s="0" t="str">
        <f aca="false">IF(T82&lt;P82,"BeforeTime",IF(T82=P82,"Intime","Late"))</f>
        <v>Intime</v>
      </c>
      <c r="AA82" s="0" t="str">
        <f aca="false">TEXT(J82,"mmm")</f>
        <v>Feb</v>
      </c>
      <c r="AB82" s="0" t="e">
        <f aca="false">xlookup(L82,Products!A:A,Products!B:B,"")</f>
        <v>#NAME?</v>
      </c>
    </row>
    <row r="83" customFormat="false" ht="15" hidden="false" customHeight="false" outlineLevel="0" collapsed="false">
      <c r="A83" s="0" t="s">
        <v>552</v>
      </c>
      <c r="B83" s="0" t="s">
        <v>86</v>
      </c>
      <c r="C83" s="0" t="s">
        <v>113</v>
      </c>
      <c r="D83" s="0" t="n">
        <v>49</v>
      </c>
      <c r="E83" s="0" t="s">
        <v>48</v>
      </c>
      <c r="F83" s="0" t="s">
        <v>140</v>
      </c>
      <c r="G83" s="0" t="s">
        <v>553</v>
      </c>
      <c r="H83" s="0" t="s">
        <v>554</v>
      </c>
      <c r="I83" s="0" t="s">
        <v>555</v>
      </c>
      <c r="J83" s="4" t="n">
        <v>45959</v>
      </c>
      <c r="K83" s="0" t="s">
        <v>556</v>
      </c>
      <c r="L83" s="0" t="s">
        <v>136</v>
      </c>
      <c r="M83" s="5" t="n">
        <v>1799</v>
      </c>
      <c r="N83" s="0" t="n">
        <v>1</v>
      </c>
      <c r="O83" s="0" t="s">
        <v>91</v>
      </c>
      <c r="P83" s="0" t="n">
        <v>5</v>
      </c>
      <c r="Q83" s="5" t="n">
        <v>75</v>
      </c>
      <c r="R83" s="4" t="n">
        <v>45964</v>
      </c>
      <c r="S83" s="0" t="s">
        <v>557</v>
      </c>
      <c r="T83" s="0" t="n">
        <f aca="false">R83-J83</f>
        <v>5</v>
      </c>
      <c r="U83" s="5" t="n">
        <f aca="false">M83*N83</f>
        <v>1799</v>
      </c>
      <c r="V83" s="6" t="n">
        <f aca="false">IF(O83="FLAT5",5%,IF(O83="FLAT10",10%,IF(O83="FLAT15",15%,IF(O83="FLAT20",20%,0))))</f>
        <v>0.1</v>
      </c>
      <c r="W83" s="5" t="n">
        <f aca="false">U83*(1-V83)</f>
        <v>1619.1</v>
      </c>
      <c r="X83" s="5" t="n">
        <f aca="false">W83+IF(O83="DEL0",0,Q83)</f>
        <v>1694.1</v>
      </c>
      <c r="Y83" s="0" t="str">
        <f aca="false">B83&amp;" "&amp;C83</f>
        <v>Rahul Rao</v>
      </c>
      <c r="Z83" s="0" t="str">
        <f aca="false">IF(T83&lt;P83,"BeforeTime",IF(T83=P83,"Intime","Late"))</f>
        <v>Intime</v>
      </c>
      <c r="AA83" s="0" t="str">
        <f aca="false">TEXT(J83,"mmm")</f>
        <v>Oct</v>
      </c>
      <c r="AB83" s="0" t="e">
        <f aca="false">xlookup(L83,Products!A:A,Products!B:B,"")</f>
        <v>#NAME?</v>
      </c>
    </row>
    <row r="84" customFormat="false" ht="15" hidden="false" customHeight="false" outlineLevel="0" collapsed="false">
      <c r="A84" s="0" t="s">
        <v>558</v>
      </c>
      <c r="B84" s="0" t="s">
        <v>269</v>
      </c>
      <c r="C84" s="0" t="s">
        <v>261</v>
      </c>
      <c r="D84" s="0" t="n">
        <v>53</v>
      </c>
      <c r="E84" s="0" t="s">
        <v>36</v>
      </c>
      <c r="F84" s="0" t="s">
        <v>59</v>
      </c>
      <c r="G84" s="0" t="s">
        <v>559</v>
      </c>
      <c r="H84" s="0" t="s">
        <v>560</v>
      </c>
      <c r="I84" s="0" t="s">
        <v>561</v>
      </c>
      <c r="J84" s="4" t="n">
        <v>45732</v>
      </c>
      <c r="K84" s="0" t="s">
        <v>562</v>
      </c>
      <c r="L84" s="0" t="s">
        <v>391</v>
      </c>
      <c r="M84" s="5" t="n">
        <v>3499</v>
      </c>
      <c r="N84" s="0" t="n">
        <v>2</v>
      </c>
      <c r="O84" s="0" t="s">
        <v>91</v>
      </c>
      <c r="P84" s="0" t="n">
        <v>4</v>
      </c>
      <c r="Q84" s="5" t="n">
        <v>90</v>
      </c>
      <c r="R84" s="4" t="n">
        <v>45736</v>
      </c>
      <c r="S84" s="0" t="s">
        <v>563</v>
      </c>
      <c r="T84" s="0" t="n">
        <f aca="false">R84-J84</f>
        <v>4</v>
      </c>
      <c r="U84" s="5" t="n">
        <f aca="false">M84*N84</f>
        <v>6998</v>
      </c>
      <c r="V84" s="6" t="n">
        <f aca="false">IF(O84="FLAT5",5%,IF(O84="FLAT10",10%,IF(O84="FLAT15",15%,IF(O84="FLAT20",20%,0))))</f>
        <v>0.1</v>
      </c>
      <c r="W84" s="5" t="n">
        <f aca="false">U84*(1-V84)</f>
        <v>6298.2</v>
      </c>
      <c r="X84" s="5" t="n">
        <f aca="false">W84+IF(O84="DEL0",0,Q84)</f>
        <v>6388.2</v>
      </c>
      <c r="Y84" s="0" t="str">
        <f aca="false">B84&amp;" "&amp;C84</f>
        <v>Varun Kumar</v>
      </c>
      <c r="Z84" s="0" t="str">
        <f aca="false">IF(T84&lt;P84,"BeforeTime",IF(T84=P84,"Intime","Late"))</f>
        <v>Intime</v>
      </c>
      <c r="AA84" s="0" t="str">
        <f aca="false">TEXT(J84,"mmm")</f>
        <v>Mar</v>
      </c>
      <c r="AB84" s="0" t="e">
        <f aca="false">xlookup(L84,Products!A:A,Products!B:B,"")</f>
        <v>#NAME?</v>
      </c>
    </row>
    <row r="85" customFormat="false" ht="15" hidden="false" customHeight="false" outlineLevel="0" collapsed="false">
      <c r="A85" s="0" t="s">
        <v>564</v>
      </c>
      <c r="B85" s="0" t="s">
        <v>394</v>
      </c>
      <c r="C85" s="0" t="s">
        <v>105</v>
      </c>
      <c r="D85" s="0" t="n">
        <v>56</v>
      </c>
      <c r="E85" s="0" t="s">
        <v>48</v>
      </c>
      <c r="F85" s="0" t="s">
        <v>59</v>
      </c>
      <c r="G85" s="0" t="s">
        <v>565</v>
      </c>
      <c r="H85" s="0" t="s">
        <v>566</v>
      </c>
      <c r="I85" s="0" t="s">
        <v>567</v>
      </c>
      <c r="J85" s="4" t="n">
        <v>45884</v>
      </c>
      <c r="K85" s="0" t="s">
        <v>568</v>
      </c>
      <c r="L85" s="0" t="s">
        <v>42</v>
      </c>
      <c r="M85" s="5" t="n">
        <v>2199</v>
      </c>
      <c r="N85" s="0" t="n">
        <v>4</v>
      </c>
      <c r="O85" s="0" t="s">
        <v>83</v>
      </c>
      <c r="P85" s="0" t="n">
        <v>7</v>
      </c>
      <c r="Q85" s="5" t="n">
        <v>60</v>
      </c>
      <c r="R85" s="4" t="n">
        <v>45891</v>
      </c>
      <c r="S85" s="0" t="s">
        <v>569</v>
      </c>
      <c r="T85" s="0" t="n">
        <f aca="false">R85-J85</f>
        <v>7</v>
      </c>
      <c r="U85" s="5" t="n">
        <f aca="false">M85*N85</f>
        <v>8796</v>
      </c>
      <c r="V85" s="6" t="n">
        <f aca="false">IF(O85="FLAT5",5%,IF(O85="FLAT10",10%,IF(O85="FLAT15",15%,IF(O85="FLAT20",20%,0))))</f>
        <v>0.05</v>
      </c>
      <c r="W85" s="5" t="n">
        <f aca="false">U85*(1-V85)</f>
        <v>8356.2</v>
      </c>
      <c r="X85" s="5" t="n">
        <f aca="false">W85+IF(O85="DEL0",0,Q85)</f>
        <v>8416.2</v>
      </c>
      <c r="Y85" s="0" t="str">
        <f aca="false">B85&amp;" "&amp;C85</f>
        <v>Kiran Bhat</v>
      </c>
      <c r="Z85" s="0" t="str">
        <f aca="false">IF(T85&lt;P85,"BeforeTime",IF(T85=P85,"Intime","Late"))</f>
        <v>Intime</v>
      </c>
      <c r="AA85" s="0" t="str">
        <f aca="false">TEXT(J85,"mmm")</f>
        <v>Aug</v>
      </c>
      <c r="AB85" s="0" t="e">
        <f aca="false">xlookup(L85,Products!A:A,Products!B:B,"")</f>
        <v>#NAME?</v>
      </c>
    </row>
    <row r="86" customFormat="false" ht="15" hidden="false" customHeight="false" outlineLevel="0" collapsed="false">
      <c r="A86" s="0" t="s">
        <v>570</v>
      </c>
      <c r="B86" s="0" t="s">
        <v>394</v>
      </c>
      <c r="C86" s="0" t="s">
        <v>210</v>
      </c>
      <c r="D86" s="0" t="n">
        <v>23</v>
      </c>
      <c r="E86" s="0" t="s">
        <v>48</v>
      </c>
      <c r="F86" s="0" t="s">
        <v>114</v>
      </c>
      <c r="G86" s="0" t="s">
        <v>571</v>
      </c>
      <c r="H86" s="0" t="s">
        <v>572</v>
      </c>
      <c r="I86" s="0" t="s">
        <v>573</v>
      </c>
      <c r="J86" s="4" t="n">
        <v>45917</v>
      </c>
      <c r="K86" s="0" t="s">
        <v>574</v>
      </c>
      <c r="L86" s="0" t="s">
        <v>129</v>
      </c>
      <c r="M86" s="5" t="n">
        <v>2999</v>
      </c>
      <c r="N86" s="0" t="n">
        <v>1</v>
      </c>
      <c r="O86" s="0" t="s">
        <v>43</v>
      </c>
      <c r="P86" s="0" t="n">
        <v>5</v>
      </c>
      <c r="Q86" s="5" t="n">
        <v>90</v>
      </c>
      <c r="R86" s="4" t="n">
        <v>45922</v>
      </c>
      <c r="S86" s="0" t="s">
        <v>575</v>
      </c>
      <c r="T86" s="0" t="n">
        <f aca="false">R86-J86</f>
        <v>5</v>
      </c>
      <c r="U86" s="5" t="n">
        <f aca="false">M86*N86</f>
        <v>2999</v>
      </c>
      <c r="V86" s="6" t="n">
        <f aca="false">IF(O86="FLAT5",5%,IF(O86="FLAT10",10%,IF(O86="FLAT15",15%,IF(O86="FLAT20",20%,0))))</f>
        <v>0.2</v>
      </c>
      <c r="W86" s="5" t="n">
        <f aca="false">U86*(1-V86)</f>
        <v>2399.2</v>
      </c>
      <c r="X86" s="5" t="n">
        <f aca="false">W86+IF(O86="DEL0",0,Q86)</f>
        <v>2489.2</v>
      </c>
      <c r="Y86" s="0" t="str">
        <f aca="false">B86&amp;" "&amp;C86</f>
        <v>Kiran Reddy</v>
      </c>
      <c r="Z86" s="0" t="str">
        <f aca="false">IF(T86&lt;P86,"BeforeTime",IF(T86=P86,"Intime","Late"))</f>
        <v>Intime</v>
      </c>
      <c r="AA86" s="0" t="str">
        <f aca="false">TEXT(J86,"mmm")</f>
        <v>Sep</v>
      </c>
      <c r="AB86" s="0" t="e">
        <f aca="false">xlookup(L86,Products!A:A,Products!B:B,"")</f>
        <v>#NAME?</v>
      </c>
    </row>
    <row r="87" customFormat="false" ht="15" hidden="false" customHeight="false" outlineLevel="0" collapsed="false">
      <c r="A87" s="0" t="s">
        <v>576</v>
      </c>
      <c r="B87" s="0" t="s">
        <v>188</v>
      </c>
      <c r="C87" s="0" t="s">
        <v>229</v>
      </c>
      <c r="D87" s="0" t="n">
        <v>58</v>
      </c>
      <c r="E87" s="0" t="s">
        <v>48</v>
      </c>
      <c r="F87" s="0" t="s">
        <v>77</v>
      </c>
      <c r="G87" s="0" t="s">
        <v>577</v>
      </c>
      <c r="H87" s="0" t="s">
        <v>578</v>
      </c>
      <c r="I87" s="0" t="s">
        <v>579</v>
      </c>
      <c r="J87" s="4" t="n">
        <v>45833</v>
      </c>
      <c r="K87" s="0" t="s">
        <v>541</v>
      </c>
      <c r="L87" s="0" t="s">
        <v>42</v>
      </c>
      <c r="M87" s="5" t="n">
        <v>2199</v>
      </c>
      <c r="N87" s="0" t="n">
        <v>1</v>
      </c>
      <c r="O87" s="0" t="s">
        <v>101</v>
      </c>
      <c r="P87" s="0" t="n">
        <v>7</v>
      </c>
      <c r="Q87" s="5" t="n">
        <v>50</v>
      </c>
      <c r="R87" s="4" t="n">
        <v>45839</v>
      </c>
      <c r="S87" s="0" t="s">
        <v>580</v>
      </c>
      <c r="T87" s="0" t="n">
        <f aca="false">R87-J87</f>
        <v>6</v>
      </c>
      <c r="U87" s="5" t="n">
        <f aca="false">M87*N87</f>
        <v>2199</v>
      </c>
      <c r="V87" s="6" t="n">
        <f aca="false">IF(O87="FLAT5",5%,IF(O87="FLAT10",10%,IF(O87="FLAT15",15%,IF(O87="FLAT20",20%,0))))</f>
        <v>0.15</v>
      </c>
      <c r="W87" s="5" t="n">
        <f aca="false">U87*(1-V87)</f>
        <v>1869.15</v>
      </c>
      <c r="X87" s="5" t="n">
        <f aca="false">W87+IF(O87="DEL0",0,Q87)</f>
        <v>1919.15</v>
      </c>
      <c r="Y87" s="0" t="str">
        <f aca="false">B87&amp;" "&amp;C87</f>
        <v>Rohan Joshi</v>
      </c>
      <c r="Z87" s="0" t="str">
        <f aca="false">IF(T87&lt;P87,"BeforeTime",IF(T87=P87,"Intime","Late"))</f>
        <v>BeforeTime</v>
      </c>
      <c r="AA87" s="0" t="str">
        <f aca="false">TEXT(J87,"mmm")</f>
        <v>Jun</v>
      </c>
      <c r="AB87" s="0" t="e">
        <f aca="false">xlookup(L87,Products!A:A,Products!B:B,"")</f>
        <v>#NAME?</v>
      </c>
    </row>
    <row r="88" customFormat="false" ht="15" hidden="false" customHeight="false" outlineLevel="0" collapsed="false">
      <c r="A88" s="0" t="s">
        <v>581</v>
      </c>
      <c r="B88" s="0" t="s">
        <v>582</v>
      </c>
      <c r="C88" s="0" t="s">
        <v>417</v>
      </c>
      <c r="D88" s="0" t="n">
        <v>43</v>
      </c>
      <c r="E88" s="0" t="s">
        <v>48</v>
      </c>
      <c r="F88" s="0" t="s">
        <v>160</v>
      </c>
      <c r="G88" s="0" t="s">
        <v>583</v>
      </c>
      <c r="H88" s="0" t="s">
        <v>584</v>
      </c>
      <c r="I88" s="0" t="s">
        <v>585</v>
      </c>
      <c r="J88" s="4" t="n">
        <v>45684</v>
      </c>
      <c r="K88" s="0" t="s">
        <v>586</v>
      </c>
      <c r="L88" s="0" t="s">
        <v>136</v>
      </c>
      <c r="M88" s="5" t="n">
        <v>1799</v>
      </c>
      <c r="N88" s="0" t="n">
        <v>3</v>
      </c>
      <c r="O88" s="0" t="s">
        <v>43</v>
      </c>
      <c r="P88" s="0" t="n">
        <v>7</v>
      </c>
      <c r="Q88" s="5" t="n">
        <v>40</v>
      </c>
      <c r="R88" s="4" t="n">
        <v>45691</v>
      </c>
      <c r="S88" s="0" t="s">
        <v>587</v>
      </c>
      <c r="T88" s="0" t="n">
        <f aca="false">R88-J88</f>
        <v>7</v>
      </c>
      <c r="U88" s="5" t="n">
        <f aca="false">M88*N88</f>
        <v>5397</v>
      </c>
      <c r="V88" s="6" t="n">
        <f aca="false">IF(O88="FLAT5",5%,IF(O88="FLAT10",10%,IF(O88="FLAT15",15%,IF(O88="FLAT20",20%,0))))</f>
        <v>0.2</v>
      </c>
      <c r="W88" s="5" t="n">
        <f aca="false">U88*(1-V88)</f>
        <v>4317.6</v>
      </c>
      <c r="X88" s="5" t="n">
        <f aca="false">W88+IF(O88="DEL0",0,Q88)</f>
        <v>4357.6</v>
      </c>
      <c r="Y88" s="0" t="str">
        <f aca="false">B88&amp;" "&amp;C88</f>
        <v>Kavya Mehta</v>
      </c>
      <c r="Z88" s="0" t="str">
        <f aca="false">IF(T88&lt;P88,"BeforeTime",IF(T88=P88,"Intime","Late"))</f>
        <v>Intime</v>
      </c>
      <c r="AA88" s="0" t="str">
        <f aca="false">TEXT(J88,"mmm")</f>
        <v>Jan</v>
      </c>
      <c r="AB88" s="0" t="e">
        <f aca="false">xlookup(L88,Products!A:A,Products!B:B,"")</f>
        <v>#NAME?</v>
      </c>
    </row>
    <row r="89" customFormat="false" ht="15" hidden="false" customHeight="false" outlineLevel="0" collapsed="false">
      <c r="A89" s="0" t="s">
        <v>588</v>
      </c>
      <c r="B89" s="0" t="s">
        <v>104</v>
      </c>
      <c r="C89" s="0" t="s">
        <v>195</v>
      </c>
      <c r="D89" s="0" t="n">
        <v>41</v>
      </c>
      <c r="E89" s="0" t="s">
        <v>36</v>
      </c>
      <c r="F89" s="0" t="s">
        <v>124</v>
      </c>
      <c r="G89" s="0" t="s">
        <v>589</v>
      </c>
      <c r="H89" s="0" t="s">
        <v>488</v>
      </c>
      <c r="I89" s="0" t="s">
        <v>590</v>
      </c>
      <c r="J89" s="4" t="n">
        <v>45816</v>
      </c>
      <c r="K89" s="0" t="s">
        <v>591</v>
      </c>
      <c r="L89" s="0" t="s">
        <v>119</v>
      </c>
      <c r="M89" s="5" t="n">
        <v>899</v>
      </c>
      <c r="N89" s="0" t="n">
        <v>2</v>
      </c>
      <c r="O89" s="0" t="s">
        <v>259</v>
      </c>
      <c r="P89" s="0" t="n">
        <v>7</v>
      </c>
      <c r="Q89" s="5" t="n">
        <v>75</v>
      </c>
      <c r="R89" s="4" t="n">
        <v>45823</v>
      </c>
      <c r="S89" s="0" t="s">
        <v>592</v>
      </c>
      <c r="T89" s="0" t="n">
        <f aca="false">R89-J89</f>
        <v>7</v>
      </c>
      <c r="U89" s="5" t="n">
        <f aca="false">M89*N89</f>
        <v>1798</v>
      </c>
      <c r="V89" s="6" t="n">
        <f aca="false">IF(O89="FLAT5",5%,IF(O89="FLAT10",10%,IF(O89="FLAT15",15%,IF(O89="FLAT20",20%,0))))</f>
        <v>0</v>
      </c>
      <c r="W89" s="5" t="n">
        <f aca="false">U89*(1-V89)</f>
        <v>1798</v>
      </c>
      <c r="X89" s="5" t="n">
        <f aca="false">W89+IF(O89="DEL0",0,Q89)</f>
        <v>1873</v>
      </c>
      <c r="Y89" s="0" t="str">
        <f aca="false">B89&amp;" "&amp;C89</f>
        <v>Keerthi Singh</v>
      </c>
      <c r="Z89" s="0" t="str">
        <f aca="false">IF(T89&lt;P89,"BeforeTime",IF(T89=P89,"Intime","Late"))</f>
        <v>Intime</v>
      </c>
      <c r="AA89" s="0" t="str">
        <f aca="false">TEXT(J89,"mmm")</f>
        <v>Jun</v>
      </c>
      <c r="AB89" s="0" t="e">
        <f aca="false">xlookup(L89,Products!A:A,Products!B:B,"")</f>
        <v>#NAME?</v>
      </c>
    </row>
    <row r="90" customFormat="false" ht="15" hidden="false" customHeight="false" outlineLevel="0" collapsed="false">
      <c r="A90" s="0" t="s">
        <v>593</v>
      </c>
      <c r="B90" s="0" t="s">
        <v>86</v>
      </c>
      <c r="C90" s="0" t="s">
        <v>195</v>
      </c>
      <c r="D90" s="0" t="n">
        <v>53</v>
      </c>
      <c r="E90" s="0" t="s">
        <v>36</v>
      </c>
      <c r="F90" s="0" t="s">
        <v>160</v>
      </c>
      <c r="G90" s="0" t="s">
        <v>594</v>
      </c>
      <c r="H90" s="0" t="s">
        <v>595</v>
      </c>
      <c r="I90" s="0" t="s">
        <v>596</v>
      </c>
      <c r="J90" s="4" t="n">
        <v>45816</v>
      </c>
      <c r="K90" s="0" t="s">
        <v>207</v>
      </c>
      <c r="L90" s="0" t="s">
        <v>240</v>
      </c>
      <c r="M90" s="5" t="n">
        <v>4999</v>
      </c>
      <c r="N90" s="0" t="n">
        <v>3</v>
      </c>
      <c r="O90" s="0" t="s">
        <v>83</v>
      </c>
      <c r="P90" s="0" t="n">
        <v>3</v>
      </c>
      <c r="Q90" s="5" t="n">
        <v>75</v>
      </c>
      <c r="R90" s="4" t="n">
        <v>45822</v>
      </c>
      <c r="S90" s="0" t="s">
        <v>597</v>
      </c>
      <c r="T90" s="0" t="n">
        <f aca="false">R90-J90</f>
        <v>6</v>
      </c>
      <c r="U90" s="5" t="n">
        <f aca="false">M90*N90</f>
        <v>14997</v>
      </c>
      <c r="V90" s="6" t="n">
        <f aca="false">IF(O90="FLAT5",5%,IF(O90="FLAT10",10%,IF(O90="FLAT15",15%,IF(O90="FLAT20",20%,0))))</f>
        <v>0.05</v>
      </c>
      <c r="W90" s="5" t="n">
        <f aca="false">U90*(1-V90)</f>
        <v>14247.15</v>
      </c>
      <c r="X90" s="5" t="n">
        <f aca="false">W90+IF(O90="DEL0",0,Q90)</f>
        <v>14322.15</v>
      </c>
      <c r="Y90" s="0" t="str">
        <f aca="false">B90&amp;" "&amp;C90</f>
        <v>Rahul Singh</v>
      </c>
      <c r="Z90" s="0" t="str">
        <f aca="false">IF(T90&lt;P90,"BeforeTime",IF(T90=P90,"Intime","Late"))</f>
        <v>Late</v>
      </c>
      <c r="AA90" s="0" t="str">
        <f aca="false">TEXT(J90,"mmm")</f>
        <v>Jun</v>
      </c>
      <c r="AB90" s="0" t="e">
        <f aca="false">xlookup(L90,Products!A:A,Products!B:B,"")</f>
        <v>#NAME?</v>
      </c>
    </row>
    <row r="91" customFormat="false" ht="15" hidden="false" customHeight="false" outlineLevel="0" collapsed="false">
      <c r="A91" s="0" t="s">
        <v>374</v>
      </c>
      <c r="B91" s="0" t="s">
        <v>34</v>
      </c>
      <c r="C91" s="0" t="s">
        <v>210</v>
      </c>
      <c r="D91" s="0" t="n">
        <v>41</v>
      </c>
      <c r="E91" s="0" t="s">
        <v>36</v>
      </c>
      <c r="F91" s="0" t="s">
        <v>124</v>
      </c>
      <c r="G91" s="0" t="s">
        <v>598</v>
      </c>
      <c r="H91" s="0" t="s">
        <v>599</v>
      </c>
      <c r="I91" s="0" t="s">
        <v>600</v>
      </c>
      <c r="J91" s="4" t="n">
        <v>46012</v>
      </c>
      <c r="K91" s="0" t="s">
        <v>601</v>
      </c>
      <c r="L91" s="0" t="s">
        <v>136</v>
      </c>
      <c r="M91" s="5" t="n">
        <v>1799</v>
      </c>
      <c r="N91" s="0" t="n">
        <v>2</v>
      </c>
      <c r="O91" s="0" t="s">
        <v>83</v>
      </c>
      <c r="P91" s="0" t="n">
        <v>6</v>
      </c>
      <c r="Q91" s="5" t="n">
        <v>120</v>
      </c>
      <c r="R91" s="4" t="n">
        <v>46020</v>
      </c>
      <c r="S91" s="0" t="s">
        <v>602</v>
      </c>
      <c r="T91" s="0" t="n">
        <f aca="false">R91-J91</f>
        <v>8</v>
      </c>
      <c r="U91" s="5" t="n">
        <f aca="false">M91*N91</f>
        <v>3598</v>
      </c>
      <c r="V91" s="6" t="n">
        <f aca="false">IF(O91="FLAT5",5%,IF(O91="FLAT10",10%,IF(O91="FLAT15",15%,IF(O91="FLAT20",20%,0))))</f>
        <v>0.05</v>
      </c>
      <c r="W91" s="5" t="n">
        <f aca="false">U91*(1-V91)</f>
        <v>3418.1</v>
      </c>
      <c r="X91" s="5" t="n">
        <f aca="false">W91+IF(O91="DEL0",0,Q91)</f>
        <v>3538.1</v>
      </c>
      <c r="Y91" s="0" t="str">
        <f aca="false">B91&amp;" "&amp;C91</f>
        <v>Diya Reddy</v>
      </c>
      <c r="Z91" s="0" t="str">
        <f aca="false">IF(T91&lt;P91,"BeforeTime",IF(T91=P91,"Intime","Late"))</f>
        <v>Late</v>
      </c>
      <c r="AA91" s="0" t="str">
        <f aca="false">TEXT(J91,"mmm")</f>
        <v>Dec</v>
      </c>
      <c r="AB91" s="0" t="e">
        <f aca="false">xlookup(L91,Products!A:A,Products!B:B,"")</f>
        <v>#NAME?</v>
      </c>
    </row>
    <row r="92" customFormat="false" ht="15" hidden="false" customHeight="false" outlineLevel="0" collapsed="false">
      <c r="A92" s="0" t="s">
        <v>374</v>
      </c>
      <c r="B92" s="0" t="s">
        <v>394</v>
      </c>
      <c r="C92" s="0" t="s">
        <v>368</v>
      </c>
      <c r="D92" s="0" t="n">
        <v>48</v>
      </c>
      <c r="E92" s="0" t="s">
        <v>36</v>
      </c>
      <c r="F92" s="0" t="s">
        <v>77</v>
      </c>
      <c r="G92" s="0" t="s">
        <v>603</v>
      </c>
      <c r="H92" s="0" t="s">
        <v>604</v>
      </c>
      <c r="I92" s="0" t="s">
        <v>605</v>
      </c>
      <c r="J92" s="4" t="n">
        <v>45898</v>
      </c>
      <c r="K92" s="0" t="s">
        <v>286</v>
      </c>
      <c r="L92" s="0" t="s">
        <v>100</v>
      </c>
      <c r="M92" s="5" t="n">
        <v>999</v>
      </c>
      <c r="N92" s="0" t="n">
        <v>3</v>
      </c>
      <c r="O92" s="0" t="s">
        <v>259</v>
      </c>
      <c r="P92" s="0" t="n">
        <v>3</v>
      </c>
      <c r="Q92" s="5" t="n">
        <v>90</v>
      </c>
      <c r="R92" s="4" t="n">
        <v>45901</v>
      </c>
      <c r="S92" s="0" t="s">
        <v>606</v>
      </c>
      <c r="T92" s="0" t="n">
        <f aca="false">R92-J92</f>
        <v>3</v>
      </c>
      <c r="U92" s="5" t="n">
        <f aca="false">M92*N92</f>
        <v>2997</v>
      </c>
      <c r="V92" s="6" t="n">
        <f aca="false">IF(O92="FLAT5",5%,IF(O92="FLAT10",10%,IF(O92="FLAT15",15%,IF(O92="FLAT20",20%,0))))</f>
        <v>0</v>
      </c>
      <c r="W92" s="5" t="n">
        <f aca="false">U92*(1-V92)</f>
        <v>2997</v>
      </c>
      <c r="X92" s="5" t="n">
        <f aca="false">W92+IF(O92="DEL0",0,Q92)</f>
        <v>3087</v>
      </c>
      <c r="Y92" s="0" t="str">
        <f aca="false">B92&amp;" "&amp;C92</f>
        <v>Kiran Das</v>
      </c>
      <c r="Z92" s="0" t="str">
        <f aca="false">IF(T92&lt;P92,"BeforeTime",IF(T92=P92,"Intime","Late"))</f>
        <v>Intime</v>
      </c>
      <c r="AA92" s="0" t="str">
        <f aca="false">TEXT(J92,"mmm")</f>
        <v>Aug</v>
      </c>
      <c r="AB92" s="0" t="e">
        <f aca="false">xlookup(L92,Products!A:A,Products!B:B,"")</f>
        <v>#NAME?</v>
      </c>
    </row>
    <row r="93" customFormat="false" ht="15" hidden="false" customHeight="false" outlineLevel="0" collapsed="false">
      <c r="A93" s="0" t="s">
        <v>235</v>
      </c>
      <c r="B93" s="0" t="s">
        <v>282</v>
      </c>
      <c r="C93" s="0" t="s">
        <v>113</v>
      </c>
      <c r="D93" s="0" t="n">
        <v>32</v>
      </c>
      <c r="E93" s="0" t="s">
        <v>36</v>
      </c>
      <c r="F93" s="0" t="s">
        <v>114</v>
      </c>
      <c r="G93" s="0" t="s">
        <v>607</v>
      </c>
      <c r="H93" s="0" t="s">
        <v>237</v>
      </c>
      <c r="I93" s="0" t="s">
        <v>608</v>
      </c>
      <c r="J93" s="4" t="n">
        <v>45941</v>
      </c>
      <c r="K93" s="0" t="s">
        <v>609</v>
      </c>
      <c r="L93" s="0" t="s">
        <v>110</v>
      </c>
      <c r="M93" s="5" t="n">
        <v>1499</v>
      </c>
      <c r="N93" s="0" t="n">
        <v>4</v>
      </c>
      <c r="O93" s="0" t="s">
        <v>259</v>
      </c>
      <c r="P93" s="0" t="n">
        <v>2</v>
      </c>
      <c r="Q93" s="5" t="n">
        <v>90</v>
      </c>
      <c r="R93" s="4" t="n">
        <v>45943</v>
      </c>
      <c r="S93" s="0" t="s">
        <v>610</v>
      </c>
      <c r="T93" s="0" t="n">
        <f aca="false">R93-J93</f>
        <v>2</v>
      </c>
      <c r="U93" s="5" t="n">
        <f aca="false">M93*N93</f>
        <v>5996</v>
      </c>
      <c r="V93" s="6" t="n">
        <f aca="false">IF(O93="FLAT5",5%,IF(O93="FLAT10",10%,IF(O93="FLAT15",15%,IF(O93="FLAT20",20%,0))))</f>
        <v>0</v>
      </c>
      <c r="W93" s="5" t="n">
        <f aca="false">U93*(1-V93)</f>
        <v>5996</v>
      </c>
      <c r="X93" s="5" t="n">
        <f aca="false">W93+IF(O93="DEL0",0,Q93)</f>
        <v>6086</v>
      </c>
      <c r="Y93" s="0" t="str">
        <f aca="false">B93&amp;" "&amp;C93</f>
        <v>Nisha Rao</v>
      </c>
      <c r="Z93" s="0" t="str">
        <f aca="false">IF(T93&lt;P93,"BeforeTime",IF(T93=P93,"Intime","Late"))</f>
        <v>Intime</v>
      </c>
      <c r="AA93" s="0" t="str">
        <f aca="false">TEXT(J93,"mmm")</f>
        <v>Oct</v>
      </c>
      <c r="AB93" s="0" t="e">
        <f aca="false">xlookup(L93,Products!A:A,Products!B:B,"")</f>
        <v>#NAME?</v>
      </c>
    </row>
    <row r="94" customFormat="false" ht="15" hidden="false" customHeight="false" outlineLevel="0" collapsed="false">
      <c r="A94" s="0" t="s">
        <v>611</v>
      </c>
      <c r="B94" s="0" t="s">
        <v>394</v>
      </c>
      <c r="C94" s="0" t="s">
        <v>195</v>
      </c>
      <c r="D94" s="0" t="n">
        <v>47</v>
      </c>
      <c r="E94" s="0" t="s">
        <v>36</v>
      </c>
      <c r="F94" s="0" t="s">
        <v>37</v>
      </c>
      <c r="G94" s="0" t="s">
        <v>612</v>
      </c>
      <c r="H94" s="0" t="s">
        <v>613</v>
      </c>
      <c r="I94" s="0" t="s">
        <v>614</v>
      </c>
      <c r="J94" s="4" t="n">
        <v>45870</v>
      </c>
      <c r="K94" s="0" t="s">
        <v>342</v>
      </c>
      <c r="L94" s="0" t="s">
        <v>53</v>
      </c>
      <c r="M94" s="5" t="n">
        <v>2499</v>
      </c>
      <c r="N94" s="0" t="n">
        <v>3</v>
      </c>
      <c r="O94" s="0" t="s">
        <v>259</v>
      </c>
      <c r="P94" s="0" t="n">
        <v>2</v>
      </c>
      <c r="Q94" s="5" t="n">
        <v>60</v>
      </c>
      <c r="R94" s="4" t="n">
        <v>45872</v>
      </c>
      <c r="S94" s="0" t="s">
        <v>615</v>
      </c>
      <c r="T94" s="0" t="n">
        <f aca="false">R94-J94</f>
        <v>2</v>
      </c>
      <c r="U94" s="5" t="n">
        <f aca="false">M94*N94</f>
        <v>7497</v>
      </c>
      <c r="V94" s="6" t="n">
        <f aca="false">IF(O94="FLAT5",5%,IF(O94="FLAT10",10%,IF(O94="FLAT15",15%,IF(O94="FLAT20",20%,0))))</f>
        <v>0</v>
      </c>
      <c r="W94" s="5" t="n">
        <f aca="false">U94*(1-V94)</f>
        <v>7497</v>
      </c>
      <c r="X94" s="5" t="n">
        <f aca="false">W94+IF(O94="DEL0",0,Q94)</f>
        <v>7557</v>
      </c>
      <c r="Y94" s="0" t="str">
        <f aca="false">B94&amp;" "&amp;C94</f>
        <v>Kiran Singh</v>
      </c>
      <c r="Z94" s="0" t="str">
        <f aca="false">IF(T94&lt;P94,"BeforeTime",IF(T94=P94,"Intime","Late"))</f>
        <v>Intime</v>
      </c>
      <c r="AA94" s="0" t="str">
        <f aca="false">TEXT(J94,"mmm")</f>
        <v>Aug</v>
      </c>
      <c r="AB94" s="0" t="e">
        <f aca="false">xlookup(L94,Products!A:A,Products!B:B,"")</f>
        <v>#NAME?</v>
      </c>
    </row>
    <row r="95" customFormat="false" ht="15" hidden="false" customHeight="false" outlineLevel="0" collapsed="false">
      <c r="A95" s="0" t="s">
        <v>616</v>
      </c>
      <c r="B95" s="0" t="s">
        <v>34</v>
      </c>
      <c r="C95" s="0" t="s">
        <v>229</v>
      </c>
      <c r="D95" s="0" t="n">
        <v>29</v>
      </c>
      <c r="E95" s="0" t="s">
        <v>36</v>
      </c>
      <c r="F95" s="0" t="s">
        <v>202</v>
      </c>
      <c r="G95" s="0" t="s">
        <v>617</v>
      </c>
      <c r="H95" s="0" t="s">
        <v>618</v>
      </c>
      <c r="I95" s="0" t="s">
        <v>619</v>
      </c>
      <c r="J95" s="4" t="n">
        <v>45729</v>
      </c>
      <c r="K95" s="0" t="s">
        <v>620</v>
      </c>
      <c r="L95" s="0" t="s">
        <v>72</v>
      </c>
      <c r="M95" s="5" t="n">
        <v>1299</v>
      </c>
      <c r="N95" s="0" t="n">
        <v>4</v>
      </c>
      <c r="O95" s="0" t="s">
        <v>54</v>
      </c>
      <c r="P95" s="0" t="n">
        <v>7</v>
      </c>
      <c r="Q95" s="5" t="n">
        <v>0</v>
      </c>
      <c r="R95" s="4" t="n">
        <v>45736</v>
      </c>
      <c r="S95" s="0" t="s">
        <v>621</v>
      </c>
      <c r="T95" s="0" t="n">
        <f aca="false">R95-J95</f>
        <v>7</v>
      </c>
      <c r="U95" s="5" t="n">
        <f aca="false">M95*N95</f>
        <v>5196</v>
      </c>
      <c r="V95" s="6" t="n">
        <f aca="false">IF(O95="FLAT5",5%,IF(O95="FLAT10",10%,IF(O95="FLAT15",15%,IF(O95="FLAT20",20%,0))))</f>
        <v>0</v>
      </c>
      <c r="W95" s="5" t="n">
        <f aca="false">U95*(1-V95)</f>
        <v>5196</v>
      </c>
      <c r="X95" s="5" t="n">
        <f aca="false">W95+IF(O95="DEL0",0,Q95)</f>
        <v>5196</v>
      </c>
      <c r="Y95" s="0" t="str">
        <f aca="false">B95&amp;" "&amp;C95</f>
        <v>Diya Joshi</v>
      </c>
      <c r="Z95" s="0" t="str">
        <f aca="false">IF(T95&lt;P95,"BeforeTime",IF(T95=P95,"Intime","Late"))</f>
        <v>Intime</v>
      </c>
      <c r="AA95" s="0" t="str">
        <f aca="false">TEXT(J95,"mmm")</f>
        <v>Mar</v>
      </c>
      <c r="AB95" s="0" t="e">
        <f aca="false">xlookup(L95,Products!A:A,Products!B:B,"")</f>
        <v>#NAME?</v>
      </c>
    </row>
    <row r="96" customFormat="false" ht="15" hidden="false" customHeight="false" outlineLevel="0" collapsed="false">
      <c r="A96" s="0" t="s">
        <v>103</v>
      </c>
      <c r="B96" s="0" t="s">
        <v>209</v>
      </c>
      <c r="C96" s="0" t="s">
        <v>95</v>
      </c>
      <c r="D96" s="0" t="n">
        <v>27</v>
      </c>
      <c r="E96" s="0" t="s">
        <v>48</v>
      </c>
      <c r="F96" s="0" t="s">
        <v>37</v>
      </c>
      <c r="G96" s="0" t="s">
        <v>622</v>
      </c>
      <c r="H96" s="0" t="s">
        <v>623</v>
      </c>
      <c r="I96" s="0" t="s">
        <v>624</v>
      </c>
      <c r="J96" s="4" t="n">
        <v>45872</v>
      </c>
      <c r="K96" s="0" t="s">
        <v>625</v>
      </c>
      <c r="L96" s="0" t="s">
        <v>72</v>
      </c>
      <c r="M96" s="5" t="n">
        <v>1299</v>
      </c>
      <c r="N96" s="0" t="n">
        <v>1</v>
      </c>
      <c r="O96" s="0" t="s">
        <v>83</v>
      </c>
      <c r="P96" s="0" t="n">
        <v>7</v>
      </c>
      <c r="Q96" s="5" t="n">
        <v>40</v>
      </c>
      <c r="R96" s="4" t="n">
        <v>45883</v>
      </c>
      <c r="S96" s="0" t="s">
        <v>626</v>
      </c>
      <c r="T96" s="0" t="n">
        <f aca="false">R96-J96</f>
        <v>11</v>
      </c>
      <c r="U96" s="5" t="n">
        <f aca="false">M96*N96</f>
        <v>1299</v>
      </c>
      <c r="V96" s="6" t="n">
        <f aca="false">IF(O96="FLAT5",5%,IF(O96="FLAT10",10%,IF(O96="FLAT15",15%,IF(O96="FLAT20",20%,0))))</f>
        <v>0.05</v>
      </c>
      <c r="W96" s="5" t="n">
        <f aca="false">U96*(1-V96)</f>
        <v>1234.05</v>
      </c>
      <c r="X96" s="5" t="n">
        <f aca="false">W96+IF(O96="DEL0",0,Q96)</f>
        <v>1274.05</v>
      </c>
      <c r="Y96" s="0" t="str">
        <f aca="false">B96&amp;" "&amp;C96</f>
        <v>Ishaan Mishra</v>
      </c>
      <c r="Z96" s="0" t="str">
        <f aca="false">IF(T96&lt;P96,"BeforeTime",IF(T96=P96,"Intime","Late"))</f>
        <v>Late</v>
      </c>
      <c r="AA96" s="0" t="str">
        <f aca="false">TEXT(J96,"mmm")</f>
        <v>Aug</v>
      </c>
      <c r="AB96" s="0" t="e">
        <f aca="false">xlookup(L96,Products!A:A,Products!B:B,"")</f>
        <v>#NAME?</v>
      </c>
    </row>
    <row r="97" customFormat="false" ht="15" hidden="false" customHeight="false" outlineLevel="0" collapsed="false">
      <c r="A97" s="0" t="s">
        <v>627</v>
      </c>
      <c r="B97" s="0" t="s">
        <v>94</v>
      </c>
      <c r="C97" s="0" t="s">
        <v>123</v>
      </c>
      <c r="D97" s="0" t="n">
        <v>29</v>
      </c>
      <c r="E97" s="0" t="s">
        <v>48</v>
      </c>
      <c r="F97" s="0" t="s">
        <v>160</v>
      </c>
      <c r="G97" s="0" t="s">
        <v>628</v>
      </c>
      <c r="H97" s="0" t="s">
        <v>629</v>
      </c>
      <c r="I97" s="0" t="s">
        <v>630</v>
      </c>
      <c r="J97" s="4" t="n">
        <v>45871</v>
      </c>
      <c r="K97" s="0" t="s">
        <v>415</v>
      </c>
      <c r="L97" s="0" t="s">
        <v>110</v>
      </c>
      <c r="M97" s="5" t="n">
        <v>1499</v>
      </c>
      <c r="N97" s="0" t="n">
        <v>3</v>
      </c>
      <c r="O97" s="0" t="s">
        <v>91</v>
      </c>
      <c r="P97" s="0" t="n">
        <v>3</v>
      </c>
      <c r="Q97" s="5" t="n">
        <v>40</v>
      </c>
      <c r="R97" s="4" t="n">
        <v>45874</v>
      </c>
      <c r="S97" s="0" t="s">
        <v>631</v>
      </c>
      <c r="T97" s="0" t="n">
        <f aca="false">R97-J97</f>
        <v>3</v>
      </c>
      <c r="U97" s="5" t="n">
        <f aca="false">M97*N97</f>
        <v>4497</v>
      </c>
      <c r="V97" s="6" t="n">
        <f aca="false">IF(O97="FLAT5",5%,IF(O97="FLAT10",10%,IF(O97="FLAT15",15%,IF(O97="FLAT20",20%,0))))</f>
        <v>0.1</v>
      </c>
      <c r="W97" s="5" t="n">
        <f aca="false">U97*(1-V97)</f>
        <v>4047.3</v>
      </c>
      <c r="X97" s="5" t="n">
        <f aca="false">W97+IF(O97="DEL0",0,Q97)</f>
        <v>4087.3</v>
      </c>
      <c r="Y97" s="0" t="str">
        <f aca="false">B97&amp;" "&amp;C97</f>
        <v>Manoj Nair</v>
      </c>
      <c r="Z97" s="0" t="str">
        <f aca="false">IF(T97&lt;P97,"BeforeTime",IF(T97=P97,"Intime","Late"))</f>
        <v>Intime</v>
      </c>
      <c r="AA97" s="0" t="str">
        <f aca="false">TEXT(J97,"mmm")</f>
        <v>Aug</v>
      </c>
      <c r="AB97" s="0" t="e">
        <f aca="false">xlookup(L97,Products!A:A,Products!B:B,"")</f>
        <v>#NAME?</v>
      </c>
    </row>
    <row r="98" customFormat="false" ht="15" hidden="false" customHeight="false" outlineLevel="0" collapsed="false">
      <c r="A98" s="0" t="s">
        <v>632</v>
      </c>
      <c r="B98" s="0" t="s">
        <v>269</v>
      </c>
      <c r="C98" s="0" t="s">
        <v>35</v>
      </c>
      <c r="D98" s="0" t="n">
        <v>44</v>
      </c>
      <c r="E98" s="0" t="s">
        <v>48</v>
      </c>
      <c r="F98" s="0" t="s">
        <v>202</v>
      </c>
      <c r="G98" s="0" t="s">
        <v>633</v>
      </c>
      <c r="H98" s="0" t="s">
        <v>634</v>
      </c>
      <c r="I98" s="0" t="s">
        <v>635</v>
      </c>
      <c r="J98" s="4" t="n">
        <v>45787</v>
      </c>
      <c r="K98" s="0" t="s">
        <v>636</v>
      </c>
      <c r="L98" s="0" t="s">
        <v>119</v>
      </c>
      <c r="M98" s="5" t="n">
        <v>899</v>
      </c>
      <c r="N98" s="0" t="n">
        <v>4</v>
      </c>
      <c r="O98" s="0" t="s">
        <v>259</v>
      </c>
      <c r="P98" s="0" t="n">
        <v>7</v>
      </c>
      <c r="Q98" s="5" t="n">
        <v>60</v>
      </c>
      <c r="R98" s="4" t="n">
        <v>45788</v>
      </c>
      <c r="S98" s="0" t="s">
        <v>637</v>
      </c>
      <c r="T98" s="0" t="n">
        <f aca="false">R98-J98</f>
        <v>1</v>
      </c>
      <c r="U98" s="5" t="n">
        <f aca="false">M98*N98</f>
        <v>3596</v>
      </c>
      <c r="V98" s="6" t="n">
        <f aca="false">IF(O98="FLAT5",5%,IF(O98="FLAT10",10%,IF(O98="FLAT15",15%,IF(O98="FLAT20",20%,0))))</f>
        <v>0</v>
      </c>
      <c r="W98" s="5" t="n">
        <f aca="false">U98*(1-V98)</f>
        <v>3596</v>
      </c>
      <c r="X98" s="5" t="n">
        <f aca="false">W98+IF(O98="DEL0",0,Q98)</f>
        <v>3656</v>
      </c>
      <c r="Y98" s="0" t="str">
        <f aca="false">B98&amp;" "&amp;C98</f>
        <v>Varun Sharma</v>
      </c>
      <c r="Z98" s="0" t="str">
        <f aca="false">IF(T98&lt;P98,"BeforeTime",IF(T98=P98,"Intime","Late"))</f>
        <v>BeforeTime</v>
      </c>
      <c r="AA98" s="0" t="str">
        <f aca="false">TEXT(J98,"mmm")</f>
        <v>May</v>
      </c>
      <c r="AB98" s="0" t="e">
        <f aca="false">xlookup(L98,Products!A:A,Products!B:B,"")</f>
        <v>#NAME?</v>
      </c>
    </row>
    <row r="99" customFormat="false" ht="15" hidden="false" customHeight="false" outlineLevel="0" collapsed="false">
      <c r="A99" s="0" t="s">
        <v>638</v>
      </c>
      <c r="B99" s="0" t="s">
        <v>86</v>
      </c>
      <c r="C99" s="0" t="s">
        <v>195</v>
      </c>
      <c r="D99" s="0" t="n">
        <v>22</v>
      </c>
      <c r="E99" s="0" t="s">
        <v>48</v>
      </c>
      <c r="F99" s="0" t="s">
        <v>77</v>
      </c>
      <c r="G99" s="0" t="s">
        <v>639</v>
      </c>
      <c r="H99" s="0" t="s">
        <v>529</v>
      </c>
      <c r="I99" s="0" t="s">
        <v>640</v>
      </c>
      <c r="J99" s="4" t="n">
        <v>46008</v>
      </c>
      <c r="K99" s="0" t="s">
        <v>641</v>
      </c>
      <c r="L99" s="0" t="s">
        <v>391</v>
      </c>
      <c r="M99" s="5" t="n">
        <v>3499</v>
      </c>
      <c r="N99" s="0" t="n">
        <v>2</v>
      </c>
      <c r="O99" s="0" t="s">
        <v>54</v>
      </c>
      <c r="P99" s="0" t="n">
        <v>5</v>
      </c>
      <c r="Q99" s="5" t="n">
        <v>0</v>
      </c>
      <c r="R99" s="4" t="n">
        <v>46017</v>
      </c>
      <c r="S99" s="0" t="s">
        <v>459</v>
      </c>
      <c r="T99" s="0" t="n">
        <f aca="false">R99-J99</f>
        <v>9</v>
      </c>
      <c r="U99" s="5" t="n">
        <f aca="false">M99*N99</f>
        <v>6998</v>
      </c>
      <c r="V99" s="6" t="n">
        <f aca="false">IF(O99="FLAT5",5%,IF(O99="FLAT10",10%,IF(O99="FLAT15",15%,IF(O99="FLAT20",20%,0))))</f>
        <v>0</v>
      </c>
      <c r="W99" s="5" t="n">
        <f aca="false">U99*(1-V99)</f>
        <v>6998</v>
      </c>
      <c r="X99" s="5" t="n">
        <f aca="false">W99+IF(O99="DEL0",0,Q99)</f>
        <v>6998</v>
      </c>
      <c r="Y99" s="0" t="str">
        <f aca="false">B99&amp;" "&amp;C99</f>
        <v>Rahul Singh</v>
      </c>
      <c r="Z99" s="0" t="str">
        <f aca="false">IF(T99&lt;P99,"BeforeTime",IF(T99=P99,"Intime","Late"))</f>
        <v>Late</v>
      </c>
      <c r="AA99" s="0" t="str">
        <f aca="false">TEXT(J99,"mmm")</f>
        <v>Dec</v>
      </c>
      <c r="AB99" s="0" t="e">
        <f aca="false">xlookup(L99,Products!A:A,Products!B:B,"")</f>
        <v>#NAME?</v>
      </c>
    </row>
    <row r="100" customFormat="false" ht="15" hidden="false" customHeight="false" outlineLevel="0" collapsed="false">
      <c r="A100" s="0" t="s">
        <v>642</v>
      </c>
      <c r="B100" s="0" t="s">
        <v>122</v>
      </c>
      <c r="C100" s="0" t="s">
        <v>47</v>
      </c>
      <c r="D100" s="0" t="n">
        <v>22</v>
      </c>
      <c r="E100" s="0" t="s">
        <v>36</v>
      </c>
      <c r="F100" s="0" t="s">
        <v>202</v>
      </c>
      <c r="G100" s="0" t="s">
        <v>643</v>
      </c>
      <c r="H100" s="0" t="s">
        <v>644</v>
      </c>
      <c r="I100" s="0" t="s">
        <v>645</v>
      </c>
      <c r="J100" s="4" t="n">
        <v>45936</v>
      </c>
      <c r="K100" s="0" t="s">
        <v>646</v>
      </c>
      <c r="L100" s="0" t="s">
        <v>391</v>
      </c>
      <c r="M100" s="5" t="n">
        <v>3499</v>
      </c>
      <c r="N100" s="0" t="n">
        <v>3</v>
      </c>
      <c r="O100" s="0" t="s">
        <v>101</v>
      </c>
      <c r="P100" s="0" t="n">
        <v>5</v>
      </c>
      <c r="Q100" s="5" t="n">
        <v>120</v>
      </c>
      <c r="R100" s="4" t="n">
        <v>45941</v>
      </c>
      <c r="S100" s="0" t="s">
        <v>347</v>
      </c>
      <c r="T100" s="0" t="n">
        <f aca="false">R100-J100</f>
        <v>5</v>
      </c>
      <c r="U100" s="5" t="n">
        <f aca="false">M100*N100</f>
        <v>10497</v>
      </c>
      <c r="V100" s="6" t="n">
        <f aca="false">IF(O100="FLAT5",5%,IF(O100="FLAT10",10%,IF(O100="FLAT15",15%,IF(O100="FLAT20",20%,0))))</f>
        <v>0.15</v>
      </c>
      <c r="W100" s="5" t="n">
        <f aca="false">U100*(1-V100)</f>
        <v>8922.45</v>
      </c>
      <c r="X100" s="5" t="n">
        <f aca="false">W100+IF(O100="DEL0",0,Q100)</f>
        <v>9042.45</v>
      </c>
      <c r="Y100" s="0" t="str">
        <f aca="false">B100&amp;" "&amp;C100</f>
        <v>Meera Verma</v>
      </c>
      <c r="Z100" s="0" t="str">
        <f aca="false">IF(T100&lt;P100,"BeforeTime",IF(T100=P100,"Intime","Late"))</f>
        <v>Intime</v>
      </c>
      <c r="AA100" s="0" t="str">
        <f aca="false">TEXT(J100,"mmm")</f>
        <v>Oct</v>
      </c>
      <c r="AB100" s="0" t="e">
        <f aca="false">xlookup(L100,Products!A:A,Products!B:B,"")</f>
        <v>#NAME?</v>
      </c>
    </row>
    <row r="101" customFormat="false" ht="15" hidden="false" customHeight="false" outlineLevel="0" collapsed="false">
      <c r="A101" s="0" t="s">
        <v>647</v>
      </c>
      <c r="B101" s="0" t="s">
        <v>86</v>
      </c>
      <c r="C101" s="0" t="s">
        <v>181</v>
      </c>
      <c r="D101" s="0" t="n">
        <v>27</v>
      </c>
      <c r="E101" s="0" t="s">
        <v>48</v>
      </c>
      <c r="F101" s="0" t="s">
        <v>160</v>
      </c>
      <c r="G101" s="0" t="s">
        <v>648</v>
      </c>
      <c r="H101" s="0" t="s">
        <v>649</v>
      </c>
      <c r="I101" s="0" t="s">
        <v>650</v>
      </c>
      <c r="J101" s="4" t="n">
        <v>45855</v>
      </c>
      <c r="K101" s="0" t="s">
        <v>651</v>
      </c>
      <c r="L101" s="0" t="s">
        <v>136</v>
      </c>
      <c r="M101" s="5" t="n">
        <v>1799</v>
      </c>
      <c r="N101" s="0" t="n">
        <v>4</v>
      </c>
      <c r="O101" s="0" t="s">
        <v>259</v>
      </c>
      <c r="P101" s="0" t="n">
        <v>4</v>
      </c>
      <c r="Q101" s="5" t="n">
        <v>120</v>
      </c>
      <c r="R101" s="4" t="n">
        <v>45863</v>
      </c>
      <c r="S101" s="0" t="s">
        <v>652</v>
      </c>
      <c r="T101" s="0" t="n">
        <f aca="false">R101-J101</f>
        <v>8</v>
      </c>
      <c r="U101" s="5" t="n">
        <f aca="false">M101*N101</f>
        <v>7196</v>
      </c>
      <c r="V101" s="6" t="n">
        <f aca="false">IF(O101="FLAT5",5%,IF(O101="FLAT10",10%,IF(O101="FLAT15",15%,IF(O101="FLAT20",20%,0))))</f>
        <v>0</v>
      </c>
      <c r="W101" s="5" t="n">
        <f aca="false">U101*(1-V101)</f>
        <v>7196</v>
      </c>
      <c r="X101" s="5" t="n">
        <f aca="false">W101+IF(O101="DEL0",0,Q101)</f>
        <v>7316</v>
      </c>
      <c r="Y101" s="0" t="str">
        <f aca="false">B101&amp;" "&amp;C101</f>
        <v>Rahul Gupta</v>
      </c>
      <c r="Z101" s="0" t="str">
        <f aca="false">IF(T101&lt;P101,"BeforeTime",IF(T101=P101,"Intime","Late"))</f>
        <v>Late</v>
      </c>
      <c r="AA101" s="0" t="str">
        <f aca="false">TEXT(J101,"mmm")</f>
        <v>Jul</v>
      </c>
      <c r="AB101" s="0" t="e">
        <f aca="false">xlookup(L101,Products!A:A,Products!B:B,"")</f>
        <v>#NAME?</v>
      </c>
    </row>
    <row r="102" customFormat="false" ht="15" hidden="false" customHeight="false" outlineLevel="0" collapsed="false">
      <c r="A102" s="0" t="s">
        <v>507</v>
      </c>
      <c r="B102" s="0" t="s">
        <v>282</v>
      </c>
      <c r="C102" s="0" t="s">
        <v>76</v>
      </c>
      <c r="D102" s="0" t="n">
        <v>47</v>
      </c>
      <c r="E102" s="0" t="s">
        <v>36</v>
      </c>
      <c r="F102" s="0" t="s">
        <v>77</v>
      </c>
      <c r="G102" s="0" t="s">
        <v>653</v>
      </c>
      <c r="H102" s="0" t="s">
        <v>429</v>
      </c>
      <c r="I102" s="0" t="s">
        <v>654</v>
      </c>
      <c r="J102" s="4" t="n">
        <v>45825</v>
      </c>
      <c r="K102" s="0" t="s">
        <v>655</v>
      </c>
      <c r="L102" s="0" t="s">
        <v>72</v>
      </c>
      <c r="M102" s="5" t="n">
        <v>1299</v>
      </c>
      <c r="N102" s="0" t="n">
        <v>3</v>
      </c>
      <c r="O102" s="0" t="s">
        <v>83</v>
      </c>
      <c r="P102" s="0" t="n">
        <v>7</v>
      </c>
      <c r="Q102" s="5" t="n">
        <v>75</v>
      </c>
      <c r="R102" s="4" t="n">
        <v>45832</v>
      </c>
      <c r="S102" s="0" t="s">
        <v>656</v>
      </c>
      <c r="T102" s="0" t="n">
        <f aca="false">R102-J102</f>
        <v>7</v>
      </c>
      <c r="U102" s="5" t="n">
        <f aca="false">M102*N102</f>
        <v>3897</v>
      </c>
      <c r="V102" s="6" t="n">
        <f aca="false">IF(O102="FLAT5",5%,IF(O102="FLAT10",10%,IF(O102="FLAT15",15%,IF(O102="FLAT20",20%,0))))</f>
        <v>0.05</v>
      </c>
      <c r="W102" s="5" t="n">
        <f aca="false">U102*(1-V102)</f>
        <v>3702.15</v>
      </c>
      <c r="X102" s="5" t="n">
        <f aca="false">W102+IF(O102="DEL0",0,Q102)</f>
        <v>3777.15</v>
      </c>
      <c r="Y102" s="0" t="str">
        <f aca="false">B102&amp;" "&amp;C102</f>
        <v>Nisha Patel</v>
      </c>
      <c r="Z102" s="0" t="str">
        <f aca="false">IF(T102&lt;P102,"BeforeTime",IF(T102=P102,"Intime","Late"))</f>
        <v>Intime</v>
      </c>
      <c r="AA102" s="0" t="str">
        <f aca="false">TEXT(J102,"mmm")</f>
        <v>Jun</v>
      </c>
      <c r="AB102" s="0" t="e">
        <f aca="false">xlookup(L102,Products!A:A,Products!B:B,"")</f>
        <v>#NAME?</v>
      </c>
    </row>
    <row r="103" customFormat="false" ht="15" hidden="false" customHeight="false" outlineLevel="0" collapsed="false">
      <c r="A103" s="0" t="s">
        <v>657</v>
      </c>
      <c r="B103" s="0" t="s">
        <v>394</v>
      </c>
      <c r="C103" s="0" t="s">
        <v>210</v>
      </c>
      <c r="D103" s="0" t="n">
        <v>42</v>
      </c>
      <c r="E103" s="0" t="s">
        <v>48</v>
      </c>
      <c r="F103" s="0" t="s">
        <v>114</v>
      </c>
      <c r="G103" s="0" t="s">
        <v>658</v>
      </c>
      <c r="H103" s="0" t="s">
        <v>218</v>
      </c>
      <c r="I103" s="0" t="s">
        <v>659</v>
      </c>
      <c r="J103" s="4" t="n">
        <v>45984</v>
      </c>
      <c r="K103" s="0" t="s">
        <v>511</v>
      </c>
      <c r="L103" s="0" t="s">
        <v>119</v>
      </c>
      <c r="M103" s="5" t="n">
        <v>899</v>
      </c>
      <c r="N103" s="0" t="n">
        <v>1</v>
      </c>
      <c r="O103" s="0" t="s">
        <v>83</v>
      </c>
      <c r="P103" s="0" t="n">
        <v>5</v>
      </c>
      <c r="Q103" s="5" t="n">
        <v>120</v>
      </c>
      <c r="R103" s="4" t="n">
        <v>45989</v>
      </c>
      <c r="S103" s="0" t="s">
        <v>660</v>
      </c>
      <c r="T103" s="0" t="n">
        <f aca="false">R103-J103</f>
        <v>5</v>
      </c>
      <c r="U103" s="5" t="n">
        <f aca="false">M103*N103</f>
        <v>899</v>
      </c>
      <c r="V103" s="6" t="n">
        <f aca="false">IF(O103="FLAT5",5%,IF(O103="FLAT10",10%,IF(O103="FLAT15",15%,IF(O103="FLAT20",20%,0))))</f>
        <v>0.05</v>
      </c>
      <c r="W103" s="5" t="n">
        <f aca="false">U103*(1-V103)</f>
        <v>854.05</v>
      </c>
      <c r="X103" s="5" t="n">
        <f aca="false">W103+IF(O103="DEL0",0,Q103)</f>
        <v>974.05</v>
      </c>
      <c r="Y103" s="0" t="str">
        <f aca="false">B103&amp;" "&amp;C103</f>
        <v>Kiran Reddy</v>
      </c>
      <c r="Z103" s="0" t="str">
        <f aca="false">IF(T103&lt;P103,"BeforeTime",IF(T103=P103,"Intime","Late"))</f>
        <v>Intime</v>
      </c>
      <c r="AA103" s="0" t="str">
        <f aca="false">TEXT(J103,"mmm")</f>
        <v>Nov</v>
      </c>
      <c r="AB103" s="0" t="e">
        <f aca="false">xlookup(L103,Products!A:A,Products!B:B,"")</f>
        <v>#NAME?</v>
      </c>
    </row>
    <row r="104" customFormat="false" ht="15" hidden="false" customHeight="false" outlineLevel="0" collapsed="false">
      <c r="A104" s="0" t="s">
        <v>361</v>
      </c>
      <c r="B104" s="0" t="s">
        <v>394</v>
      </c>
      <c r="C104" s="0" t="s">
        <v>210</v>
      </c>
      <c r="D104" s="0" t="n">
        <v>28</v>
      </c>
      <c r="E104" s="0" t="s">
        <v>36</v>
      </c>
      <c r="F104" s="0" t="s">
        <v>37</v>
      </c>
      <c r="G104" s="0" t="s">
        <v>661</v>
      </c>
      <c r="H104" s="0" t="s">
        <v>662</v>
      </c>
      <c r="I104" s="0" t="s">
        <v>663</v>
      </c>
      <c r="J104" s="4" t="n">
        <v>45948</v>
      </c>
      <c r="K104" s="0" t="s">
        <v>664</v>
      </c>
      <c r="L104" s="0" t="s">
        <v>119</v>
      </c>
      <c r="M104" s="5" t="n">
        <v>899</v>
      </c>
      <c r="N104" s="0" t="n">
        <v>3</v>
      </c>
      <c r="O104" s="0" t="s">
        <v>91</v>
      </c>
      <c r="P104" s="0" t="n">
        <v>2</v>
      </c>
      <c r="Q104" s="5" t="n">
        <v>120</v>
      </c>
      <c r="R104" s="4" t="n">
        <v>45950</v>
      </c>
      <c r="S104" s="0" t="s">
        <v>665</v>
      </c>
      <c r="T104" s="0" t="n">
        <f aca="false">R104-J104</f>
        <v>2</v>
      </c>
      <c r="U104" s="5" t="n">
        <f aca="false">M104*N104</f>
        <v>2697</v>
      </c>
      <c r="V104" s="6" t="n">
        <f aca="false">IF(O104="FLAT5",5%,IF(O104="FLAT10",10%,IF(O104="FLAT15",15%,IF(O104="FLAT20",20%,0))))</f>
        <v>0.1</v>
      </c>
      <c r="W104" s="5" t="n">
        <f aca="false">U104*(1-V104)</f>
        <v>2427.3</v>
      </c>
      <c r="X104" s="5" t="n">
        <f aca="false">W104+IF(O104="DEL0",0,Q104)</f>
        <v>2547.3</v>
      </c>
      <c r="Y104" s="0" t="str">
        <f aca="false">B104&amp;" "&amp;C104</f>
        <v>Kiran Reddy</v>
      </c>
      <c r="Z104" s="0" t="str">
        <f aca="false">IF(T104&lt;P104,"BeforeTime",IF(T104=P104,"Intime","Late"))</f>
        <v>Intime</v>
      </c>
      <c r="AA104" s="0" t="str">
        <f aca="false">TEXT(J104,"mmm")</f>
        <v>Oct</v>
      </c>
      <c r="AB104" s="0" t="e">
        <f aca="false">xlookup(L104,Products!A:A,Products!B:B,"")</f>
        <v>#NAME?</v>
      </c>
    </row>
    <row r="105" customFormat="false" ht="15" hidden="false" customHeight="false" outlineLevel="0" collapsed="false">
      <c r="A105" s="0" t="s">
        <v>666</v>
      </c>
      <c r="B105" s="0" t="s">
        <v>209</v>
      </c>
      <c r="C105" s="0" t="s">
        <v>417</v>
      </c>
      <c r="D105" s="0" t="n">
        <v>45</v>
      </c>
      <c r="E105" s="0" t="s">
        <v>48</v>
      </c>
      <c r="F105" s="0" t="s">
        <v>114</v>
      </c>
      <c r="G105" s="0" t="s">
        <v>667</v>
      </c>
      <c r="H105" s="0" t="s">
        <v>668</v>
      </c>
      <c r="I105" s="0" t="s">
        <v>669</v>
      </c>
      <c r="J105" s="4" t="n">
        <v>45753</v>
      </c>
      <c r="K105" s="0" t="s">
        <v>670</v>
      </c>
      <c r="L105" s="0" t="s">
        <v>100</v>
      </c>
      <c r="M105" s="5" t="n">
        <v>999</v>
      </c>
      <c r="N105" s="0" t="n">
        <v>1</v>
      </c>
      <c r="O105" s="0" t="s">
        <v>83</v>
      </c>
      <c r="P105" s="0" t="n">
        <v>5</v>
      </c>
      <c r="Q105" s="5" t="n">
        <v>90</v>
      </c>
      <c r="R105" s="4" t="n">
        <v>45758</v>
      </c>
      <c r="S105" s="0" t="s">
        <v>671</v>
      </c>
      <c r="T105" s="0" t="n">
        <f aca="false">R105-J105</f>
        <v>5</v>
      </c>
      <c r="U105" s="5" t="n">
        <f aca="false">M105*N105</f>
        <v>999</v>
      </c>
      <c r="V105" s="6" t="n">
        <f aca="false">IF(O105="FLAT5",5%,IF(O105="FLAT10",10%,IF(O105="FLAT15",15%,IF(O105="FLAT20",20%,0))))</f>
        <v>0.05</v>
      </c>
      <c r="W105" s="5" t="n">
        <f aca="false">U105*(1-V105)</f>
        <v>949.05</v>
      </c>
      <c r="X105" s="5" t="n">
        <f aca="false">W105+IF(O105="DEL0",0,Q105)</f>
        <v>1039.05</v>
      </c>
      <c r="Y105" s="0" t="str">
        <f aca="false">B105&amp;" "&amp;C105</f>
        <v>Ishaan Mehta</v>
      </c>
      <c r="Z105" s="0" t="str">
        <f aca="false">IF(T105&lt;P105,"BeforeTime",IF(T105=P105,"Intime","Late"))</f>
        <v>Intime</v>
      </c>
      <c r="AA105" s="0" t="str">
        <f aca="false">TEXT(J105,"mmm")</f>
        <v>Apr</v>
      </c>
      <c r="AB105" s="0" t="e">
        <f aca="false">xlookup(L105,Products!A:A,Products!B:B,"")</f>
        <v>#NAME?</v>
      </c>
    </row>
    <row r="106" customFormat="false" ht="15" hidden="false" customHeight="false" outlineLevel="0" collapsed="false">
      <c r="A106" s="0" t="s">
        <v>310</v>
      </c>
      <c r="B106" s="0" t="s">
        <v>122</v>
      </c>
      <c r="C106" s="0" t="s">
        <v>167</v>
      </c>
      <c r="D106" s="0" t="n">
        <v>32</v>
      </c>
      <c r="E106" s="0" t="s">
        <v>36</v>
      </c>
      <c r="F106" s="0" t="s">
        <v>262</v>
      </c>
      <c r="G106" s="0" t="s">
        <v>672</v>
      </c>
      <c r="H106" s="0" t="s">
        <v>673</v>
      </c>
      <c r="I106" s="0" t="s">
        <v>674</v>
      </c>
      <c r="J106" s="4" t="n">
        <v>45885</v>
      </c>
      <c r="K106" s="0" t="s">
        <v>415</v>
      </c>
      <c r="L106" s="0" t="s">
        <v>129</v>
      </c>
      <c r="M106" s="5" t="n">
        <v>2999</v>
      </c>
      <c r="N106" s="0" t="n">
        <v>4</v>
      </c>
      <c r="O106" s="0" t="s">
        <v>83</v>
      </c>
      <c r="P106" s="0" t="n">
        <v>2</v>
      </c>
      <c r="Q106" s="5" t="n">
        <v>120</v>
      </c>
      <c r="R106" s="4" t="n">
        <v>45890</v>
      </c>
      <c r="S106" s="0" t="s">
        <v>200</v>
      </c>
      <c r="T106" s="0" t="n">
        <f aca="false">R106-J106</f>
        <v>5</v>
      </c>
      <c r="U106" s="5" t="n">
        <f aca="false">M106*N106</f>
        <v>11996</v>
      </c>
      <c r="V106" s="6" t="n">
        <f aca="false">IF(O106="FLAT5",5%,IF(O106="FLAT10",10%,IF(O106="FLAT15",15%,IF(O106="FLAT20",20%,0))))</f>
        <v>0.05</v>
      </c>
      <c r="W106" s="5" t="n">
        <f aca="false">U106*(1-V106)</f>
        <v>11396.2</v>
      </c>
      <c r="X106" s="5" t="n">
        <f aca="false">W106+IF(O106="DEL0",0,Q106)</f>
        <v>11516.2</v>
      </c>
      <c r="Y106" s="0" t="str">
        <f aca="false">B106&amp;" "&amp;C106</f>
        <v>Meera Chowdhury</v>
      </c>
      <c r="Z106" s="0" t="str">
        <f aca="false">IF(T106&lt;P106,"BeforeTime",IF(T106=P106,"Intime","Late"))</f>
        <v>Late</v>
      </c>
      <c r="AA106" s="0" t="str">
        <f aca="false">TEXT(J106,"mmm")</f>
        <v>Aug</v>
      </c>
      <c r="AB106" s="0" t="e">
        <f aca="false">xlookup(L106,Products!A:A,Products!B:B,"")</f>
        <v>#NAME?</v>
      </c>
    </row>
    <row r="107" customFormat="false" ht="15" hidden="false" customHeight="false" outlineLevel="0" collapsed="false">
      <c r="A107" s="0" t="s">
        <v>201</v>
      </c>
      <c r="B107" s="0" t="s">
        <v>122</v>
      </c>
      <c r="C107" s="0" t="s">
        <v>113</v>
      </c>
      <c r="D107" s="0" t="n">
        <v>31</v>
      </c>
      <c r="E107" s="0" t="s">
        <v>48</v>
      </c>
      <c r="F107" s="0" t="s">
        <v>77</v>
      </c>
      <c r="G107" s="0" t="s">
        <v>675</v>
      </c>
      <c r="H107" s="0" t="s">
        <v>676</v>
      </c>
      <c r="I107" s="0" t="s">
        <v>677</v>
      </c>
      <c r="J107" s="4" t="n">
        <v>45729</v>
      </c>
      <c r="K107" s="0" t="s">
        <v>678</v>
      </c>
      <c r="L107" s="0" t="s">
        <v>100</v>
      </c>
      <c r="M107" s="5" t="n">
        <v>999</v>
      </c>
      <c r="N107" s="0" t="n">
        <v>1</v>
      </c>
      <c r="O107" s="0" t="s">
        <v>259</v>
      </c>
      <c r="P107" s="0" t="n">
        <v>3</v>
      </c>
      <c r="Q107" s="5" t="n">
        <v>60</v>
      </c>
      <c r="R107" s="4" t="n">
        <v>45733</v>
      </c>
      <c r="S107" s="0" t="s">
        <v>679</v>
      </c>
      <c r="T107" s="0" t="n">
        <f aca="false">R107-J107</f>
        <v>4</v>
      </c>
      <c r="U107" s="5" t="n">
        <f aca="false">M107*N107</f>
        <v>999</v>
      </c>
      <c r="V107" s="6" t="n">
        <f aca="false">IF(O107="FLAT5",5%,IF(O107="FLAT10",10%,IF(O107="FLAT15",15%,IF(O107="FLAT20",20%,0))))</f>
        <v>0</v>
      </c>
      <c r="W107" s="5" t="n">
        <f aca="false">U107*(1-V107)</f>
        <v>999</v>
      </c>
      <c r="X107" s="5" t="n">
        <f aca="false">W107+IF(O107="DEL0",0,Q107)</f>
        <v>1059</v>
      </c>
      <c r="Y107" s="0" t="str">
        <f aca="false">B107&amp;" "&amp;C107</f>
        <v>Meera Rao</v>
      </c>
      <c r="Z107" s="0" t="str">
        <f aca="false">IF(T107&lt;P107,"BeforeTime",IF(T107=P107,"Intime","Late"))</f>
        <v>Late</v>
      </c>
      <c r="AA107" s="0" t="str">
        <f aca="false">TEXT(J107,"mmm")</f>
        <v>Mar</v>
      </c>
      <c r="AB107" s="0" t="e">
        <f aca="false">xlookup(L107,Products!A:A,Products!B:B,"")</f>
        <v>#NAME?</v>
      </c>
    </row>
    <row r="108" customFormat="false" ht="15" hidden="false" customHeight="false" outlineLevel="0" collapsed="false">
      <c r="A108" s="0" t="s">
        <v>349</v>
      </c>
      <c r="B108" s="0" t="s">
        <v>104</v>
      </c>
      <c r="C108" s="0" t="s">
        <v>76</v>
      </c>
      <c r="D108" s="0" t="n">
        <v>24</v>
      </c>
      <c r="E108" s="0" t="s">
        <v>48</v>
      </c>
      <c r="F108" s="0" t="s">
        <v>160</v>
      </c>
      <c r="G108" s="0" t="s">
        <v>680</v>
      </c>
      <c r="H108" s="0" t="s">
        <v>681</v>
      </c>
      <c r="I108" s="0" t="s">
        <v>682</v>
      </c>
      <c r="J108" s="4" t="n">
        <v>45867</v>
      </c>
      <c r="K108" s="0" t="s">
        <v>179</v>
      </c>
      <c r="L108" s="0" t="s">
        <v>82</v>
      </c>
      <c r="M108" s="5" t="n">
        <v>1199</v>
      </c>
      <c r="N108" s="0" t="n">
        <v>4</v>
      </c>
      <c r="O108" s="0" t="s">
        <v>101</v>
      </c>
      <c r="P108" s="0" t="n">
        <v>6</v>
      </c>
      <c r="Q108" s="5" t="n">
        <v>120</v>
      </c>
      <c r="R108" s="4" t="n">
        <v>45870</v>
      </c>
      <c r="S108" s="0" t="s">
        <v>683</v>
      </c>
      <c r="T108" s="0" t="n">
        <f aca="false">R108-J108</f>
        <v>3</v>
      </c>
      <c r="U108" s="5" t="n">
        <f aca="false">M108*N108</f>
        <v>4796</v>
      </c>
      <c r="V108" s="6" t="n">
        <f aca="false">IF(O108="FLAT5",5%,IF(O108="FLAT10",10%,IF(O108="FLAT15",15%,IF(O108="FLAT20",20%,0))))</f>
        <v>0.15</v>
      </c>
      <c r="W108" s="5" t="n">
        <f aca="false">U108*(1-V108)</f>
        <v>4076.6</v>
      </c>
      <c r="X108" s="5" t="n">
        <f aca="false">W108+IF(O108="DEL0",0,Q108)</f>
        <v>4196.6</v>
      </c>
      <c r="Y108" s="0" t="str">
        <f aca="false">B108&amp;" "&amp;C108</f>
        <v>Keerthi Patel</v>
      </c>
      <c r="Z108" s="0" t="str">
        <f aca="false">IF(T108&lt;P108,"BeforeTime",IF(T108=P108,"Intime","Late"))</f>
        <v>BeforeTime</v>
      </c>
      <c r="AA108" s="0" t="str">
        <f aca="false">TEXT(J108,"mmm")</f>
        <v>Jul</v>
      </c>
      <c r="AB108" s="0" t="e">
        <f aca="false">xlookup(L108,Products!A:A,Products!B:B,"")</f>
        <v>#NAME?</v>
      </c>
    </row>
    <row r="109" customFormat="false" ht="15" hidden="false" customHeight="false" outlineLevel="0" collapsed="false">
      <c r="A109" s="0" t="s">
        <v>684</v>
      </c>
      <c r="B109" s="0" t="s">
        <v>46</v>
      </c>
      <c r="C109" s="0" t="s">
        <v>113</v>
      </c>
      <c r="D109" s="0" t="n">
        <v>28</v>
      </c>
      <c r="E109" s="0" t="s">
        <v>48</v>
      </c>
      <c r="F109" s="0" t="s">
        <v>77</v>
      </c>
      <c r="G109" s="0" t="s">
        <v>685</v>
      </c>
      <c r="H109" s="0" t="s">
        <v>686</v>
      </c>
      <c r="I109" s="0" t="s">
        <v>687</v>
      </c>
      <c r="J109" s="4" t="n">
        <v>45813</v>
      </c>
      <c r="K109" s="0" t="s">
        <v>688</v>
      </c>
      <c r="L109" s="0" t="s">
        <v>110</v>
      </c>
      <c r="M109" s="5" t="n">
        <v>1499</v>
      </c>
      <c r="N109" s="0" t="n">
        <v>1</v>
      </c>
      <c r="O109" s="0" t="s">
        <v>101</v>
      </c>
      <c r="P109" s="0" t="n">
        <v>3</v>
      </c>
      <c r="Q109" s="5" t="n">
        <v>60</v>
      </c>
      <c r="R109" s="4" t="n">
        <v>45814</v>
      </c>
      <c r="S109" s="0" t="s">
        <v>689</v>
      </c>
      <c r="T109" s="0" t="n">
        <f aca="false">R109-J109</f>
        <v>1</v>
      </c>
      <c r="U109" s="5" t="n">
        <f aca="false">M109*N109</f>
        <v>1499</v>
      </c>
      <c r="V109" s="6" t="n">
        <f aca="false">IF(O109="FLAT5",5%,IF(O109="FLAT10",10%,IF(O109="FLAT15",15%,IF(O109="FLAT20",20%,0))))</f>
        <v>0.15</v>
      </c>
      <c r="W109" s="5" t="n">
        <f aca="false">U109*(1-V109)</f>
        <v>1274.15</v>
      </c>
      <c r="X109" s="5" t="n">
        <f aca="false">W109+IF(O109="DEL0",0,Q109)</f>
        <v>1334.15</v>
      </c>
      <c r="Y109" s="0" t="str">
        <f aca="false">B109&amp;" "&amp;C109</f>
        <v>Sanjana Rao</v>
      </c>
      <c r="Z109" s="0" t="str">
        <f aca="false">IF(T109&lt;P109,"BeforeTime",IF(T109=P109,"Intime","Late"))</f>
        <v>BeforeTime</v>
      </c>
      <c r="AA109" s="0" t="str">
        <f aca="false">TEXT(J109,"mmm")</f>
        <v>Jun</v>
      </c>
      <c r="AB109" s="0" t="e">
        <f aca="false">xlookup(L109,Products!A:A,Products!B:B,"")</f>
        <v>#NAME?</v>
      </c>
    </row>
    <row r="110" customFormat="false" ht="15" hidden="false" customHeight="false" outlineLevel="0" collapsed="false">
      <c r="A110" s="0" t="s">
        <v>121</v>
      </c>
      <c r="B110" s="0" t="s">
        <v>46</v>
      </c>
      <c r="C110" s="0" t="s">
        <v>181</v>
      </c>
      <c r="D110" s="0" t="n">
        <v>28</v>
      </c>
      <c r="E110" s="0" t="s">
        <v>48</v>
      </c>
      <c r="F110" s="0" t="s">
        <v>124</v>
      </c>
      <c r="G110" s="0" t="s">
        <v>690</v>
      </c>
      <c r="H110" s="0" t="s">
        <v>691</v>
      </c>
      <c r="I110" s="0" t="s">
        <v>692</v>
      </c>
      <c r="J110" s="4" t="n">
        <v>45744</v>
      </c>
      <c r="K110" s="0" t="s">
        <v>693</v>
      </c>
      <c r="L110" s="0" t="s">
        <v>240</v>
      </c>
      <c r="M110" s="5" t="n">
        <v>4999</v>
      </c>
      <c r="N110" s="0" t="n">
        <v>1</v>
      </c>
      <c r="O110" s="0" t="s">
        <v>101</v>
      </c>
      <c r="P110" s="0" t="n">
        <v>6</v>
      </c>
      <c r="Q110" s="5" t="n">
        <v>50</v>
      </c>
      <c r="R110" s="4" t="n">
        <v>45752</v>
      </c>
      <c r="S110" s="0" t="s">
        <v>694</v>
      </c>
      <c r="T110" s="0" t="n">
        <f aca="false">R110-J110</f>
        <v>8</v>
      </c>
      <c r="U110" s="5" t="n">
        <f aca="false">M110*N110</f>
        <v>4999</v>
      </c>
      <c r="V110" s="6" t="n">
        <f aca="false">IF(O110="FLAT5",5%,IF(O110="FLAT10",10%,IF(O110="FLAT15",15%,IF(O110="FLAT20",20%,0))))</f>
        <v>0.15</v>
      </c>
      <c r="W110" s="5" t="n">
        <f aca="false">U110*(1-V110)</f>
        <v>4249.15</v>
      </c>
      <c r="X110" s="5" t="n">
        <f aca="false">W110+IF(O110="DEL0",0,Q110)</f>
        <v>4299.15</v>
      </c>
      <c r="Y110" s="0" t="str">
        <f aca="false">B110&amp;" "&amp;C110</f>
        <v>Sanjana Gupta</v>
      </c>
      <c r="Z110" s="0" t="str">
        <f aca="false">IF(T110&lt;P110,"BeforeTime",IF(T110=P110,"Intime","Late"))</f>
        <v>Late</v>
      </c>
      <c r="AA110" s="0" t="str">
        <f aca="false">TEXT(J110,"mmm")</f>
        <v>Mar</v>
      </c>
      <c r="AB110" s="0" t="e">
        <f aca="false">xlookup(L110,Products!A:A,Products!B:B,"")</f>
        <v>#NAME?</v>
      </c>
    </row>
    <row r="111" customFormat="false" ht="15" hidden="false" customHeight="false" outlineLevel="0" collapsed="false">
      <c r="A111" s="0" t="s">
        <v>570</v>
      </c>
      <c r="B111" s="0" t="s">
        <v>139</v>
      </c>
      <c r="C111" s="0" t="s">
        <v>76</v>
      </c>
      <c r="D111" s="0" t="n">
        <v>22</v>
      </c>
      <c r="E111" s="0" t="s">
        <v>48</v>
      </c>
      <c r="F111" s="0" t="s">
        <v>37</v>
      </c>
      <c r="G111" s="0" t="s">
        <v>695</v>
      </c>
      <c r="H111" s="0" t="s">
        <v>696</v>
      </c>
      <c r="I111" s="0" t="s">
        <v>697</v>
      </c>
      <c r="J111" s="4" t="n">
        <v>45673</v>
      </c>
      <c r="K111" s="0" t="s">
        <v>698</v>
      </c>
      <c r="L111" s="0" t="s">
        <v>64</v>
      </c>
      <c r="M111" s="5" t="n">
        <v>2799</v>
      </c>
      <c r="N111" s="0" t="n">
        <v>4</v>
      </c>
      <c r="O111" s="0" t="s">
        <v>43</v>
      </c>
      <c r="P111" s="0" t="n">
        <v>5</v>
      </c>
      <c r="Q111" s="5" t="n">
        <v>120</v>
      </c>
      <c r="R111" s="4" t="n">
        <v>45681</v>
      </c>
      <c r="S111" s="0" t="s">
        <v>699</v>
      </c>
      <c r="T111" s="0" t="n">
        <f aca="false">R111-J111</f>
        <v>8</v>
      </c>
      <c r="U111" s="5" t="n">
        <f aca="false">M111*N111</f>
        <v>11196</v>
      </c>
      <c r="V111" s="6" t="n">
        <f aca="false">IF(O111="FLAT5",5%,IF(O111="FLAT10",10%,IF(O111="FLAT15",15%,IF(O111="FLAT20",20%,0))))</f>
        <v>0.2</v>
      </c>
      <c r="W111" s="5" t="n">
        <f aca="false">U111*(1-V111)</f>
        <v>8956.8</v>
      </c>
      <c r="X111" s="5" t="n">
        <f aca="false">W111+IF(O111="DEL0",0,Q111)</f>
        <v>9076.8</v>
      </c>
      <c r="Y111" s="0" t="str">
        <f aca="false">B111&amp;" "&amp;C111</f>
        <v>Aarav Patel</v>
      </c>
      <c r="Z111" s="0" t="str">
        <f aca="false">IF(T111&lt;P111,"BeforeTime",IF(T111=P111,"Intime","Late"))</f>
        <v>Late</v>
      </c>
      <c r="AA111" s="0" t="str">
        <f aca="false">TEXT(J111,"mmm")</f>
        <v>Jan</v>
      </c>
      <c r="AB111" s="0" t="e">
        <f aca="false">xlookup(L111,Products!A:A,Products!B:B,"")</f>
        <v>#NAME?</v>
      </c>
    </row>
    <row r="112" customFormat="false" ht="15" hidden="false" customHeight="false" outlineLevel="0" collapsed="false">
      <c r="A112" s="0" t="s">
        <v>355</v>
      </c>
      <c r="B112" s="0" t="s">
        <v>122</v>
      </c>
      <c r="C112" s="0" t="s">
        <v>105</v>
      </c>
      <c r="D112" s="0" t="n">
        <v>24</v>
      </c>
      <c r="E112" s="0" t="s">
        <v>36</v>
      </c>
      <c r="F112" s="0" t="s">
        <v>262</v>
      </c>
      <c r="G112" s="0" t="s">
        <v>700</v>
      </c>
      <c r="H112" s="0" t="s">
        <v>701</v>
      </c>
      <c r="I112" s="0" t="s">
        <v>702</v>
      </c>
      <c r="J112" s="4" t="n">
        <v>45762</v>
      </c>
      <c r="K112" s="0" t="s">
        <v>703</v>
      </c>
      <c r="L112" s="0" t="s">
        <v>53</v>
      </c>
      <c r="M112" s="5" t="n">
        <v>2499</v>
      </c>
      <c r="N112" s="0" t="n">
        <v>4</v>
      </c>
      <c r="O112" s="0" t="s">
        <v>101</v>
      </c>
      <c r="P112" s="0" t="n">
        <v>4</v>
      </c>
      <c r="Q112" s="5" t="n">
        <v>60</v>
      </c>
      <c r="R112" s="4" t="n">
        <v>45766</v>
      </c>
      <c r="S112" s="0" t="s">
        <v>704</v>
      </c>
      <c r="T112" s="0" t="n">
        <f aca="false">R112-J112</f>
        <v>4</v>
      </c>
      <c r="U112" s="5" t="n">
        <f aca="false">M112*N112</f>
        <v>9996</v>
      </c>
      <c r="V112" s="6" t="n">
        <f aca="false">IF(O112="FLAT5",5%,IF(O112="FLAT10",10%,IF(O112="FLAT15",15%,IF(O112="FLAT20",20%,0))))</f>
        <v>0.15</v>
      </c>
      <c r="W112" s="5" t="n">
        <f aca="false">U112*(1-V112)</f>
        <v>8496.6</v>
      </c>
      <c r="X112" s="5" t="n">
        <f aca="false">W112+IF(O112="DEL0",0,Q112)</f>
        <v>8556.6</v>
      </c>
      <c r="Y112" s="0" t="str">
        <f aca="false">B112&amp;" "&amp;C112</f>
        <v>Meera Bhat</v>
      </c>
      <c r="Z112" s="0" t="str">
        <f aca="false">IF(T112&lt;P112,"BeforeTime",IF(T112=P112,"Intime","Late"))</f>
        <v>Intime</v>
      </c>
      <c r="AA112" s="0" t="str">
        <f aca="false">TEXT(J112,"mmm")</f>
        <v>Apr</v>
      </c>
      <c r="AB112" s="0" t="e">
        <f aca="false">xlookup(L112,Products!A:A,Products!B:B,"")</f>
        <v>#NAME?</v>
      </c>
    </row>
    <row r="113" customFormat="false" ht="15" hidden="false" customHeight="false" outlineLevel="0" collapsed="false">
      <c r="A113" s="0" t="s">
        <v>684</v>
      </c>
      <c r="B113" s="0" t="s">
        <v>209</v>
      </c>
      <c r="C113" s="0" t="s">
        <v>417</v>
      </c>
      <c r="D113" s="0" t="n">
        <v>52</v>
      </c>
      <c r="E113" s="0" t="s">
        <v>36</v>
      </c>
      <c r="F113" s="0" t="s">
        <v>59</v>
      </c>
      <c r="G113" s="0" t="s">
        <v>705</v>
      </c>
      <c r="H113" s="0" t="s">
        <v>706</v>
      </c>
      <c r="I113" s="0" t="s">
        <v>707</v>
      </c>
      <c r="J113" s="4" t="n">
        <v>45888</v>
      </c>
      <c r="K113" s="0" t="s">
        <v>491</v>
      </c>
      <c r="L113" s="0" t="s">
        <v>100</v>
      </c>
      <c r="M113" s="5" t="n">
        <v>999</v>
      </c>
      <c r="N113" s="0" t="n">
        <v>4</v>
      </c>
      <c r="O113" s="0" t="s">
        <v>83</v>
      </c>
      <c r="P113" s="0" t="n">
        <v>3</v>
      </c>
      <c r="Q113" s="5" t="n">
        <v>60</v>
      </c>
      <c r="R113" s="4" t="n">
        <v>45889</v>
      </c>
      <c r="S113" s="0" t="s">
        <v>81</v>
      </c>
      <c r="T113" s="0" t="n">
        <f aca="false">R113-J113</f>
        <v>1</v>
      </c>
      <c r="U113" s="5" t="n">
        <f aca="false">M113*N113</f>
        <v>3996</v>
      </c>
      <c r="V113" s="6" t="n">
        <f aca="false">IF(O113="FLAT5",5%,IF(O113="FLAT10",10%,IF(O113="FLAT15",15%,IF(O113="FLAT20",20%,0))))</f>
        <v>0.05</v>
      </c>
      <c r="W113" s="5" t="n">
        <f aca="false">U113*(1-V113)</f>
        <v>3796.2</v>
      </c>
      <c r="X113" s="5" t="n">
        <f aca="false">W113+IF(O113="DEL0",0,Q113)</f>
        <v>3856.2</v>
      </c>
      <c r="Y113" s="0" t="str">
        <f aca="false">B113&amp;" "&amp;C113</f>
        <v>Ishaan Mehta</v>
      </c>
      <c r="Z113" s="0" t="str">
        <f aca="false">IF(T113&lt;P113,"BeforeTime",IF(T113=P113,"Intime","Late"))</f>
        <v>BeforeTime</v>
      </c>
      <c r="AA113" s="0" t="str">
        <f aca="false">TEXT(J113,"mmm")</f>
        <v>Aug</v>
      </c>
      <c r="AB113" s="0" t="e">
        <f aca="false">xlookup(L113,Products!A:A,Products!B:B,"")</f>
        <v>#NAME?</v>
      </c>
    </row>
    <row r="114" customFormat="false" ht="15" hidden="false" customHeight="false" outlineLevel="0" collapsed="false">
      <c r="A114" s="0" t="s">
        <v>708</v>
      </c>
      <c r="B114" s="0" t="s">
        <v>86</v>
      </c>
      <c r="C114" s="0" t="s">
        <v>229</v>
      </c>
      <c r="D114" s="0" t="n">
        <v>32</v>
      </c>
      <c r="E114" s="0" t="s">
        <v>36</v>
      </c>
      <c r="F114" s="0" t="s">
        <v>248</v>
      </c>
      <c r="G114" s="0" t="s">
        <v>709</v>
      </c>
      <c r="H114" s="0" t="s">
        <v>710</v>
      </c>
      <c r="I114" s="0" t="s">
        <v>711</v>
      </c>
      <c r="J114" s="4" t="n">
        <v>45815</v>
      </c>
      <c r="K114" s="0" t="s">
        <v>712</v>
      </c>
      <c r="L114" s="0" t="s">
        <v>240</v>
      </c>
      <c r="M114" s="5" t="n">
        <v>4999</v>
      </c>
      <c r="N114" s="0" t="n">
        <v>4</v>
      </c>
      <c r="O114" s="0" t="s">
        <v>101</v>
      </c>
      <c r="P114" s="0" t="n">
        <v>5</v>
      </c>
      <c r="Q114" s="5" t="n">
        <v>90</v>
      </c>
      <c r="R114" s="4" t="n">
        <v>45819</v>
      </c>
      <c r="S114" s="0" t="s">
        <v>713</v>
      </c>
      <c r="T114" s="0" t="n">
        <f aca="false">R114-J114</f>
        <v>4</v>
      </c>
      <c r="U114" s="5" t="n">
        <f aca="false">M114*N114</f>
        <v>19996</v>
      </c>
      <c r="V114" s="6" t="n">
        <f aca="false">IF(O114="FLAT5",5%,IF(O114="FLAT10",10%,IF(O114="FLAT15",15%,IF(O114="FLAT20",20%,0))))</f>
        <v>0.15</v>
      </c>
      <c r="W114" s="5" t="n">
        <f aca="false">U114*(1-V114)</f>
        <v>16996.6</v>
      </c>
      <c r="X114" s="5" t="n">
        <f aca="false">W114+IF(O114="DEL0",0,Q114)</f>
        <v>17086.6</v>
      </c>
      <c r="Y114" s="0" t="str">
        <f aca="false">B114&amp;" "&amp;C114</f>
        <v>Rahul Joshi</v>
      </c>
      <c r="Z114" s="0" t="str">
        <f aca="false">IF(T114&lt;P114,"BeforeTime",IF(T114=P114,"Intime","Late"))</f>
        <v>BeforeTime</v>
      </c>
      <c r="AA114" s="0" t="str">
        <f aca="false">TEXT(J114,"mmm")</f>
        <v>Jun</v>
      </c>
      <c r="AB114" s="0" t="e">
        <f aca="false">xlookup(L114,Products!A:A,Products!B:B,"")</f>
        <v>#NAME?</v>
      </c>
    </row>
    <row r="115" customFormat="false" ht="15" hidden="false" customHeight="false" outlineLevel="0" collapsed="false">
      <c r="A115" s="0" t="s">
        <v>714</v>
      </c>
      <c r="B115" s="0" t="s">
        <v>122</v>
      </c>
      <c r="C115" s="0" t="s">
        <v>167</v>
      </c>
      <c r="D115" s="0" t="n">
        <v>58</v>
      </c>
      <c r="E115" s="0" t="s">
        <v>48</v>
      </c>
      <c r="F115" s="0" t="s">
        <v>114</v>
      </c>
      <c r="G115" s="0" t="s">
        <v>715</v>
      </c>
      <c r="H115" s="0" t="s">
        <v>716</v>
      </c>
      <c r="I115" s="0" t="s">
        <v>717</v>
      </c>
      <c r="J115" s="4" t="n">
        <v>45878</v>
      </c>
      <c r="K115" s="0" t="s">
        <v>151</v>
      </c>
      <c r="L115" s="0" t="s">
        <v>240</v>
      </c>
      <c r="M115" s="5" t="n">
        <v>4999</v>
      </c>
      <c r="N115" s="0" t="n">
        <v>1</v>
      </c>
      <c r="O115" s="0" t="s">
        <v>54</v>
      </c>
      <c r="P115" s="0" t="n">
        <v>3</v>
      </c>
      <c r="Q115" s="5" t="n">
        <v>0</v>
      </c>
      <c r="R115" s="4" t="n">
        <v>45884</v>
      </c>
      <c r="S115" s="0" t="s">
        <v>348</v>
      </c>
      <c r="T115" s="0" t="n">
        <f aca="false">R115-J115</f>
        <v>6</v>
      </c>
      <c r="U115" s="5" t="n">
        <f aca="false">M115*N115</f>
        <v>4999</v>
      </c>
      <c r="V115" s="6" t="n">
        <f aca="false">IF(O115="FLAT5",5%,IF(O115="FLAT10",10%,IF(O115="FLAT15",15%,IF(O115="FLAT20",20%,0))))</f>
        <v>0</v>
      </c>
      <c r="W115" s="5" t="n">
        <f aca="false">U115*(1-V115)</f>
        <v>4999</v>
      </c>
      <c r="X115" s="5" t="n">
        <f aca="false">W115+IF(O115="DEL0",0,Q115)</f>
        <v>4999</v>
      </c>
      <c r="Y115" s="0" t="str">
        <f aca="false">B115&amp;" "&amp;C115</f>
        <v>Meera Chowdhury</v>
      </c>
      <c r="Z115" s="0" t="str">
        <f aca="false">IF(T115&lt;P115,"BeforeTime",IF(T115=P115,"Intime","Late"))</f>
        <v>Late</v>
      </c>
      <c r="AA115" s="0" t="str">
        <f aca="false">TEXT(J115,"mmm")</f>
        <v>Aug</v>
      </c>
      <c r="AB115" s="0" t="e">
        <f aca="false">xlookup(L115,Products!A:A,Products!B:B,"")</f>
        <v>#NAME?</v>
      </c>
    </row>
    <row r="116" customFormat="false" ht="15" hidden="false" customHeight="false" outlineLevel="0" collapsed="false">
      <c r="A116" s="0" t="s">
        <v>666</v>
      </c>
      <c r="B116" s="0" t="s">
        <v>46</v>
      </c>
      <c r="C116" s="0" t="s">
        <v>47</v>
      </c>
      <c r="D116" s="0" t="n">
        <v>43</v>
      </c>
      <c r="E116" s="0" t="s">
        <v>48</v>
      </c>
      <c r="F116" s="0" t="s">
        <v>140</v>
      </c>
      <c r="G116" s="0" t="s">
        <v>718</v>
      </c>
      <c r="H116" s="0" t="s">
        <v>719</v>
      </c>
      <c r="I116" s="0" t="s">
        <v>720</v>
      </c>
      <c r="J116" s="4" t="n">
        <v>45801</v>
      </c>
      <c r="K116" s="0" t="s">
        <v>721</v>
      </c>
      <c r="L116" s="0" t="s">
        <v>136</v>
      </c>
      <c r="M116" s="5" t="n">
        <v>1799</v>
      </c>
      <c r="N116" s="0" t="n">
        <v>4</v>
      </c>
      <c r="O116" s="0" t="s">
        <v>54</v>
      </c>
      <c r="P116" s="0" t="n">
        <v>6</v>
      </c>
      <c r="Q116" s="5" t="n">
        <v>0</v>
      </c>
      <c r="R116" s="4" t="n">
        <v>45807</v>
      </c>
      <c r="S116" s="0" t="s">
        <v>722</v>
      </c>
      <c r="T116" s="0" t="n">
        <f aca="false">R116-J116</f>
        <v>6</v>
      </c>
      <c r="U116" s="5" t="n">
        <f aca="false">M116*N116</f>
        <v>7196</v>
      </c>
      <c r="V116" s="6" t="n">
        <f aca="false">IF(O116="FLAT5",5%,IF(O116="FLAT10",10%,IF(O116="FLAT15",15%,IF(O116="FLAT20",20%,0))))</f>
        <v>0</v>
      </c>
      <c r="W116" s="5" t="n">
        <f aca="false">U116*(1-V116)</f>
        <v>7196</v>
      </c>
      <c r="X116" s="5" t="n">
        <f aca="false">W116+IF(O116="DEL0",0,Q116)</f>
        <v>7196</v>
      </c>
      <c r="Y116" s="0" t="str">
        <f aca="false">B116&amp;" "&amp;C116</f>
        <v>Sanjana Verma</v>
      </c>
      <c r="Z116" s="0" t="str">
        <f aca="false">IF(T116&lt;P116,"BeforeTime",IF(T116=P116,"Intime","Late"))</f>
        <v>Intime</v>
      </c>
      <c r="AA116" s="0" t="str">
        <f aca="false">TEXT(J116,"mmm")</f>
        <v>May</v>
      </c>
      <c r="AB116" s="0" t="e">
        <f aca="false">xlookup(L116,Products!A:A,Products!B:B,"")</f>
        <v>#NAME?</v>
      </c>
    </row>
    <row r="117" customFormat="false" ht="15" hidden="false" customHeight="false" outlineLevel="0" collapsed="false">
      <c r="A117" s="0" t="s">
        <v>723</v>
      </c>
      <c r="B117" s="0" t="s">
        <v>67</v>
      </c>
      <c r="C117" s="0" t="s">
        <v>195</v>
      </c>
      <c r="D117" s="0" t="n">
        <v>32</v>
      </c>
      <c r="E117" s="0" t="s">
        <v>48</v>
      </c>
      <c r="F117" s="0" t="s">
        <v>77</v>
      </c>
      <c r="G117" s="0" t="s">
        <v>724</v>
      </c>
      <c r="H117" s="0" t="s">
        <v>725</v>
      </c>
      <c r="I117" s="0" t="s">
        <v>726</v>
      </c>
      <c r="J117" s="4" t="n">
        <v>45828</v>
      </c>
      <c r="K117" s="0" t="s">
        <v>727</v>
      </c>
      <c r="L117" s="0" t="s">
        <v>110</v>
      </c>
      <c r="M117" s="5" t="n">
        <v>1499</v>
      </c>
      <c r="N117" s="0" t="n">
        <v>1</v>
      </c>
      <c r="O117" s="0" t="s">
        <v>83</v>
      </c>
      <c r="P117" s="0" t="n">
        <v>5</v>
      </c>
      <c r="Q117" s="5" t="n">
        <v>50</v>
      </c>
      <c r="R117" s="4" t="n">
        <v>45833</v>
      </c>
      <c r="S117" s="0" t="s">
        <v>728</v>
      </c>
      <c r="T117" s="0" t="n">
        <f aca="false">R117-J117</f>
        <v>5</v>
      </c>
      <c r="U117" s="5" t="n">
        <f aca="false">M117*N117</f>
        <v>1499</v>
      </c>
      <c r="V117" s="6" t="n">
        <f aca="false">IF(O117="FLAT5",5%,IF(O117="FLAT10",10%,IF(O117="FLAT15",15%,IF(O117="FLAT20",20%,0))))</f>
        <v>0.05</v>
      </c>
      <c r="W117" s="5" t="n">
        <f aca="false">U117*(1-V117)</f>
        <v>1424.05</v>
      </c>
      <c r="X117" s="5" t="n">
        <f aca="false">W117+IF(O117="DEL0",0,Q117)</f>
        <v>1474.05</v>
      </c>
      <c r="Y117" s="0" t="str">
        <f aca="false">B117&amp;" "&amp;C117</f>
        <v>Priya Singh</v>
      </c>
      <c r="Z117" s="0" t="str">
        <f aca="false">IF(T117&lt;P117,"BeforeTime",IF(T117=P117,"Intime","Late"))</f>
        <v>Intime</v>
      </c>
      <c r="AA117" s="0" t="str">
        <f aca="false">TEXT(J117,"mmm")</f>
        <v>Jun</v>
      </c>
      <c r="AB117" s="0" t="e">
        <f aca="false">xlookup(L117,Products!A:A,Products!B:B,"")</f>
        <v>#NAME?</v>
      </c>
    </row>
    <row r="118" customFormat="false" ht="15" hidden="false" customHeight="false" outlineLevel="0" collapsed="false">
      <c r="A118" s="0" t="s">
        <v>581</v>
      </c>
      <c r="B118" s="0" t="s">
        <v>582</v>
      </c>
      <c r="C118" s="0" t="s">
        <v>58</v>
      </c>
      <c r="D118" s="0" t="n">
        <v>39</v>
      </c>
      <c r="E118" s="0" t="s">
        <v>48</v>
      </c>
      <c r="F118" s="0" t="s">
        <v>77</v>
      </c>
      <c r="G118" s="0" t="s">
        <v>729</v>
      </c>
      <c r="H118" s="0" t="s">
        <v>730</v>
      </c>
      <c r="I118" s="0" t="s">
        <v>731</v>
      </c>
      <c r="J118" s="4" t="n">
        <v>45811</v>
      </c>
      <c r="K118" s="0" t="s">
        <v>732</v>
      </c>
      <c r="L118" s="0" t="s">
        <v>240</v>
      </c>
      <c r="M118" s="5" t="n">
        <v>4999</v>
      </c>
      <c r="N118" s="0" t="n">
        <v>4</v>
      </c>
      <c r="O118" s="0" t="s">
        <v>54</v>
      </c>
      <c r="P118" s="0" t="n">
        <v>5</v>
      </c>
      <c r="Q118" s="5" t="n">
        <v>0</v>
      </c>
      <c r="R118" s="4" t="n">
        <v>45819</v>
      </c>
      <c r="S118" s="0" t="s">
        <v>733</v>
      </c>
      <c r="T118" s="0" t="n">
        <f aca="false">R118-J118</f>
        <v>8</v>
      </c>
      <c r="U118" s="5" t="n">
        <f aca="false">M118*N118</f>
        <v>19996</v>
      </c>
      <c r="V118" s="6" t="n">
        <f aca="false">IF(O118="FLAT5",5%,IF(O118="FLAT10",10%,IF(O118="FLAT15",15%,IF(O118="FLAT20",20%,0))))</f>
        <v>0</v>
      </c>
      <c r="W118" s="5" t="n">
        <f aca="false">U118*(1-V118)</f>
        <v>19996</v>
      </c>
      <c r="X118" s="5" t="n">
        <f aca="false">W118+IF(O118="DEL0",0,Q118)</f>
        <v>19996</v>
      </c>
      <c r="Y118" s="0" t="str">
        <f aca="false">B118&amp;" "&amp;C118</f>
        <v>Kavya Iyer</v>
      </c>
      <c r="Z118" s="0" t="str">
        <f aca="false">IF(T118&lt;P118,"BeforeTime",IF(T118=P118,"Intime","Late"))</f>
        <v>Late</v>
      </c>
      <c r="AA118" s="0" t="str">
        <f aca="false">TEXT(J118,"mmm")</f>
        <v>Jun</v>
      </c>
      <c r="AB118" s="0" t="e">
        <f aca="false">xlookup(L118,Products!A:A,Products!B:B,"")</f>
        <v>#NAME?</v>
      </c>
    </row>
    <row r="119" customFormat="false" ht="15" hidden="false" customHeight="false" outlineLevel="0" collapsed="false">
      <c r="A119" s="0" t="s">
        <v>734</v>
      </c>
      <c r="B119" s="0" t="s">
        <v>139</v>
      </c>
      <c r="C119" s="0" t="s">
        <v>167</v>
      </c>
      <c r="D119" s="0" t="n">
        <v>36</v>
      </c>
      <c r="E119" s="0" t="s">
        <v>36</v>
      </c>
      <c r="F119" s="0" t="s">
        <v>202</v>
      </c>
      <c r="G119" s="0" t="s">
        <v>735</v>
      </c>
      <c r="H119" s="0" t="s">
        <v>736</v>
      </c>
      <c r="I119" s="0" t="s">
        <v>737</v>
      </c>
      <c r="J119" s="4" t="n">
        <v>45980</v>
      </c>
      <c r="K119" s="0" t="s">
        <v>738</v>
      </c>
      <c r="L119" s="0" t="s">
        <v>64</v>
      </c>
      <c r="M119" s="5" t="n">
        <v>2799</v>
      </c>
      <c r="N119" s="0" t="n">
        <v>4</v>
      </c>
      <c r="O119" s="0" t="s">
        <v>83</v>
      </c>
      <c r="P119" s="0" t="n">
        <v>7</v>
      </c>
      <c r="Q119" s="5" t="n">
        <v>75</v>
      </c>
      <c r="R119" s="4" t="n">
        <v>45987</v>
      </c>
      <c r="S119" s="0" t="s">
        <v>739</v>
      </c>
      <c r="T119" s="0" t="n">
        <f aca="false">R119-J119</f>
        <v>7</v>
      </c>
      <c r="U119" s="5" t="n">
        <f aca="false">M119*N119</f>
        <v>11196</v>
      </c>
      <c r="V119" s="6" t="n">
        <f aca="false">IF(O119="FLAT5",5%,IF(O119="FLAT10",10%,IF(O119="FLAT15",15%,IF(O119="FLAT20",20%,0))))</f>
        <v>0.05</v>
      </c>
      <c r="W119" s="5" t="n">
        <f aca="false">U119*(1-V119)</f>
        <v>10636.2</v>
      </c>
      <c r="X119" s="5" t="n">
        <f aca="false">W119+IF(O119="DEL0",0,Q119)</f>
        <v>10711.2</v>
      </c>
      <c r="Y119" s="0" t="str">
        <f aca="false">B119&amp;" "&amp;C119</f>
        <v>Aarav Chowdhury</v>
      </c>
      <c r="Z119" s="0" t="str">
        <f aca="false">IF(T119&lt;P119,"BeforeTime",IF(T119=P119,"Intime","Late"))</f>
        <v>Intime</v>
      </c>
      <c r="AA119" s="0" t="str">
        <f aca="false">TEXT(J119,"mmm")</f>
        <v>Nov</v>
      </c>
      <c r="AB119" s="0" t="e">
        <f aca="false">xlookup(L119,Products!A:A,Products!B:B,"")</f>
        <v>#NAME?</v>
      </c>
    </row>
    <row r="120" customFormat="false" ht="15" hidden="false" customHeight="false" outlineLevel="0" collapsed="false">
      <c r="A120" s="0" t="s">
        <v>740</v>
      </c>
      <c r="B120" s="0" t="s">
        <v>188</v>
      </c>
      <c r="C120" s="0" t="s">
        <v>35</v>
      </c>
      <c r="D120" s="0" t="n">
        <v>48</v>
      </c>
      <c r="E120" s="0" t="s">
        <v>48</v>
      </c>
      <c r="F120" s="0" t="s">
        <v>160</v>
      </c>
      <c r="G120" s="0" t="s">
        <v>741</v>
      </c>
      <c r="H120" s="0" t="s">
        <v>572</v>
      </c>
      <c r="I120" s="0" t="s">
        <v>742</v>
      </c>
      <c r="J120" s="4" t="n">
        <v>45868</v>
      </c>
      <c r="K120" s="0" t="s">
        <v>743</v>
      </c>
      <c r="L120" s="0" t="s">
        <v>42</v>
      </c>
      <c r="M120" s="5" t="n">
        <v>2199</v>
      </c>
      <c r="N120" s="0" t="n">
        <v>4</v>
      </c>
      <c r="O120" s="0" t="s">
        <v>54</v>
      </c>
      <c r="P120" s="0" t="n">
        <v>6</v>
      </c>
      <c r="Q120" s="5" t="n">
        <v>0</v>
      </c>
      <c r="R120" s="4" t="n">
        <v>45878</v>
      </c>
      <c r="S120" s="0" t="s">
        <v>744</v>
      </c>
      <c r="T120" s="0" t="n">
        <f aca="false">R120-J120</f>
        <v>10</v>
      </c>
      <c r="U120" s="5" t="n">
        <f aca="false">M120*N120</f>
        <v>8796</v>
      </c>
      <c r="V120" s="6" t="n">
        <f aca="false">IF(O120="FLAT5",5%,IF(O120="FLAT10",10%,IF(O120="FLAT15",15%,IF(O120="FLAT20",20%,0))))</f>
        <v>0</v>
      </c>
      <c r="W120" s="5" t="n">
        <f aca="false">U120*(1-V120)</f>
        <v>8796</v>
      </c>
      <c r="X120" s="5" t="n">
        <f aca="false">W120+IF(O120="DEL0",0,Q120)</f>
        <v>8796</v>
      </c>
      <c r="Y120" s="0" t="str">
        <f aca="false">B120&amp;" "&amp;C120</f>
        <v>Rohan Sharma</v>
      </c>
      <c r="Z120" s="0" t="str">
        <f aca="false">IF(T120&lt;P120,"BeforeTime",IF(T120=P120,"Intime","Late"))</f>
        <v>Late</v>
      </c>
      <c r="AA120" s="0" t="str">
        <f aca="false">TEXT(J120,"mmm")</f>
        <v>Jul</v>
      </c>
      <c r="AB120" s="0" t="e">
        <f aca="false">xlookup(L120,Products!A:A,Products!B:B,"")</f>
        <v>#NAME?</v>
      </c>
    </row>
    <row r="121" customFormat="false" ht="15" hidden="false" customHeight="false" outlineLevel="0" collapsed="false">
      <c r="A121" s="0" t="s">
        <v>439</v>
      </c>
      <c r="B121" s="0" t="s">
        <v>46</v>
      </c>
      <c r="C121" s="0" t="s">
        <v>229</v>
      </c>
      <c r="D121" s="0" t="n">
        <v>50</v>
      </c>
      <c r="E121" s="0" t="s">
        <v>48</v>
      </c>
      <c r="F121" s="0" t="s">
        <v>59</v>
      </c>
      <c r="G121" s="0" t="s">
        <v>745</v>
      </c>
      <c r="H121" s="0" t="s">
        <v>746</v>
      </c>
      <c r="I121" s="0" t="s">
        <v>747</v>
      </c>
      <c r="J121" s="4" t="n">
        <v>45833</v>
      </c>
      <c r="K121" s="0" t="s">
        <v>144</v>
      </c>
      <c r="L121" s="0" t="s">
        <v>42</v>
      </c>
      <c r="M121" s="5" t="n">
        <v>2199</v>
      </c>
      <c r="N121" s="0" t="n">
        <v>4</v>
      </c>
      <c r="O121" s="0" t="s">
        <v>259</v>
      </c>
      <c r="P121" s="0" t="n">
        <v>6</v>
      </c>
      <c r="Q121" s="5" t="n">
        <v>120</v>
      </c>
      <c r="R121" s="4" t="n">
        <v>45839</v>
      </c>
      <c r="S121" s="0" t="s">
        <v>748</v>
      </c>
      <c r="T121" s="0" t="n">
        <f aca="false">R121-J121</f>
        <v>6</v>
      </c>
      <c r="U121" s="5" t="n">
        <f aca="false">M121*N121</f>
        <v>8796</v>
      </c>
      <c r="V121" s="6" t="n">
        <f aca="false">IF(O121="FLAT5",5%,IF(O121="FLAT10",10%,IF(O121="FLAT15",15%,IF(O121="FLAT20",20%,0))))</f>
        <v>0</v>
      </c>
      <c r="W121" s="5" t="n">
        <f aca="false">U121*(1-V121)</f>
        <v>8796</v>
      </c>
      <c r="X121" s="5" t="n">
        <f aca="false">W121+IF(O121="DEL0",0,Q121)</f>
        <v>8916</v>
      </c>
      <c r="Y121" s="0" t="str">
        <f aca="false">B121&amp;" "&amp;C121</f>
        <v>Sanjana Joshi</v>
      </c>
      <c r="Z121" s="0" t="str">
        <f aca="false">IF(T121&lt;P121,"BeforeTime",IF(T121=P121,"Intime","Late"))</f>
        <v>Intime</v>
      </c>
      <c r="AA121" s="0" t="str">
        <f aca="false">TEXT(J121,"mmm")</f>
        <v>Jun</v>
      </c>
      <c r="AB121" s="0" t="e">
        <f aca="false">xlookup(L121,Products!A:A,Products!B:B,"")</f>
        <v>#NAME?</v>
      </c>
    </row>
    <row r="122" customFormat="false" ht="15" hidden="false" customHeight="false" outlineLevel="0" collapsed="false">
      <c r="A122" s="0" t="s">
        <v>749</v>
      </c>
      <c r="B122" s="0" t="s">
        <v>75</v>
      </c>
      <c r="C122" s="0" t="s">
        <v>368</v>
      </c>
      <c r="D122" s="0" t="n">
        <v>34</v>
      </c>
      <c r="E122" s="0" t="s">
        <v>48</v>
      </c>
      <c r="F122" s="0" t="s">
        <v>114</v>
      </c>
      <c r="G122" s="0" t="s">
        <v>750</v>
      </c>
      <c r="H122" s="0" t="s">
        <v>751</v>
      </c>
      <c r="I122" s="0" t="s">
        <v>752</v>
      </c>
      <c r="J122" s="4" t="n">
        <v>45908</v>
      </c>
      <c r="K122" s="0" t="s">
        <v>550</v>
      </c>
      <c r="L122" s="0" t="s">
        <v>82</v>
      </c>
      <c r="M122" s="5" t="n">
        <v>1199</v>
      </c>
      <c r="N122" s="0" t="n">
        <v>2</v>
      </c>
      <c r="O122" s="0" t="s">
        <v>54</v>
      </c>
      <c r="P122" s="0" t="n">
        <v>4</v>
      </c>
      <c r="Q122" s="5" t="n">
        <v>0</v>
      </c>
      <c r="R122" s="4" t="n">
        <v>45912</v>
      </c>
      <c r="S122" s="0" t="s">
        <v>660</v>
      </c>
      <c r="T122" s="0" t="n">
        <f aca="false">R122-J122</f>
        <v>4</v>
      </c>
      <c r="U122" s="5" t="n">
        <f aca="false">M122*N122</f>
        <v>2398</v>
      </c>
      <c r="V122" s="6" t="n">
        <f aca="false">IF(O122="FLAT5",5%,IF(O122="FLAT10",10%,IF(O122="FLAT15",15%,IF(O122="FLAT20",20%,0))))</f>
        <v>0</v>
      </c>
      <c r="W122" s="5" t="n">
        <f aca="false">U122*(1-V122)</f>
        <v>2398</v>
      </c>
      <c r="X122" s="5" t="n">
        <f aca="false">W122+IF(O122="DEL0",0,Q122)</f>
        <v>2398</v>
      </c>
      <c r="Y122" s="0" t="str">
        <f aca="false">B122&amp;" "&amp;C122</f>
        <v>Vikram Das</v>
      </c>
      <c r="Z122" s="0" t="str">
        <f aca="false">IF(T122&lt;P122,"BeforeTime",IF(T122=P122,"Intime","Late"))</f>
        <v>Intime</v>
      </c>
      <c r="AA122" s="0" t="str">
        <f aca="false">TEXT(J122,"mmm")</f>
        <v>Sep</v>
      </c>
      <c r="AB122" s="0" t="e">
        <f aca="false">xlookup(L122,Products!A:A,Products!B:B,"")</f>
        <v>#NAME?</v>
      </c>
    </row>
    <row r="123" customFormat="false" ht="15" hidden="false" customHeight="false" outlineLevel="0" collapsed="false">
      <c r="A123" s="0" t="s">
        <v>753</v>
      </c>
      <c r="B123" s="0" t="s">
        <v>46</v>
      </c>
      <c r="C123" s="0" t="s">
        <v>58</v>
      </c>
      <c r="D123" s="0" t="n">
        <v>45</v>
      </c>
      <c r="E123" s="0" t="s">
        <v>48</v>
      </c>
      <c r="F123" s="0" t="s">
        <v>262</v>
      </c>
      <c r="G123" s="0" t="s">
        <v>754</v>
      </c>
      <c r="H123" s="0" t="s">
        <v>755</v>
      </c>
      <c r="I123" s="0" t="s">
        <v>756</v>
      </c>
      <c r="J123" s="4" t="n">
        <v>45698</v>
      </c>
      <c r="K123" s="0" t="s">
        <v>431</v>
      </c>
      <c r="L123" s="0" t="s">
        <v>72</v>
      </c>
      <c r="M123" s="5" t="n">
        <v>1299</v>
      </c>
      <c r="N123" s="0" t="n">
        <v>1</v>
      </c>
      <c r="O123" s="0" t="s">
        <v>91</v>
      </c>
      <c r="P123" s="0" t="n">
        <v>4</v>
      </c>
      <c r="Q123" s="5" t="n">
        <v>120</v>
      </c>
      <c r="R123" s="4" t="n">
        <v>45705</v>
      </c>
      <c r="S123" s="0" t="s">
        <v>727</v>
      </c>
      <c r="T123" s="0" t="n">
        <f aca="false">R123-J123</f>
        <v>7</v>
      </c>
      <c r="U123" s="5" t="n">
        <f aca="false">M123*N123</f>
        <v>1299</v>
      </c>
      <c r="V123" s="6" t="n">
        <f aca="false">IF(O123="FLAT5",5%,IF(O123="FLAT10",10%,IF(O123="FLAT15",15%,IF(O123="FLAT20",20%,0))))</f>
        <v>0.1</v>
      </c>
      <c r="W123" s="5" t="n">
        <f aca="false">U123*(1-V123)</f>
        <v>1169.1</v>
      </c>
      <c r="X123" s="5" t="n">
        <f aca="false">W123+IF(O123="DEL0",0,Q123)</f>
        <v>1289.1</v>
      </c>
      <c r="Y123" s="0" t="str">
        <f aca="false">B123&amp;" "&amp;C123</f>
        <v>Sanjana Iyer</v>
      </c>
      <c r="Z123" s="0" t="str">
        <f aca="false">IF(T123&lt;P123,"BeforeTime",IF(T123=P123,"Intime","Late"))</f>
        <v>Late</v>
      </c>
      <c r="AA123" s="0" t="str">
        <f aca="false">TEXT(J123,"mmm")</f>
        <v>Feb</v>
      </c>
      <c r="AB123" s="0" t="e">
        <f aca="false">xlookup(L123,Products!A:A,Products!B:B,"")</f>
        <v>#NAME?</v>
      </c>
    </row>
    <row r="124" customFormat="false" ht="15" hidden="false" customHeight="false" outlineLevel="0" collapsed="false">
      <c r="A124" s="0" t="s">
        <v>393</v>
      </c>
      <c r="B124" s="0" t="s">
        <v>46</v>
      </c>
      <c r="C124" s="0" t="s">
        <v>181</v>
      </c>
      <c r="D124" s="0" t="n">
        <v>28</v>
      </c>
      <c r="E124" s="0" t="s">
        <v>36</v>
      </c>
      <c r="F124" s="0" t="s">
        <v>124</v>
      </c>
      <c r="G124" s="0" t="s">
        <v>757</v>
      </c>
      <c r="H124" s="0" t="s">
        <v>758</v>
      </c>
      <c r="I124" s="0" t="s">
        <v>759</v>
      </c>
      <c r="J124" s="4" t="n">
        <v>46000</v>
      </c>
      <c r="K124" s="0" t="s">
        <v>760</v>
      </c>
      <c r="L124" s="0" t="s">
        <v>82</v>
      </c>
      <c r="M124" s="5" t="n">
        <v>1199</v>
      </c>
      <c r="N124" s="0" t="n">
        <v>2</v>
      </c>
      <c r="O124" s="0" t="s">
        <v>91</v>
      </c>
      <c r="P124" s="0" t="n">
        <v>6</v>
      </c>
      <c r="Q124" s="5" t="n">
        <v>50</v>
      </c>
      <c r="R124" s="4" t="n">
        <v>46006</v>
      </c>
      <c r="S124" s="0" t="s">
        <v>761</v>
      </c>
      <c r="T124" s="0" t="n">
        <f aca="false">R124-J124</f>
        <v>6</v>
      </c>
      <c r="U124" s="5" t="n">
        <f aca="false">M124*N124</f>
        <v>2398</v>
      </c>
      <c r="V124" s="6" t="n">
        <f aca="false">IF(O124="FLAT5",5%,IF(O124="FLAT10",10%,IF(O124="FLAT15",15%,IF(O124="FLAT20",20%,0))))</f>
        <v>0.1</v>
      </c>
      <c r="W124" s="5" t="n">
        <f aca="false">U124*(1-V124)</f>
        <v>2158.2</v>
      </c>
      <c r="X124" s="5" t="n">
        <f aca="false">W124+IF(O124="DEL0",0,Q124)</f>
        <v>2208.2</v>
      </c>
      <c r="Y124" s="0" t="str">
        <f aca="false">B124&amp;" "&amp;C124</f>
        <v>Sanjana Gupta</v>
      </c>
      <c r="Z124" s="0" t="str">
        <f aca="false">IF(T124&lt;P124,"BeforeTime",IF(T124=P124,"Intime","Late"))</f>
        <v>Intime</v>
      </c>
      <c r="AA124" s="0" t="str">
        <f aca="false">TEXT(J124,"mmm")</f>
        <v>Dec</v>
      </c>
      <c r="AB124" s="0" t="e">
        <f aca="false">xlookup(L124,Products!A:A,Products!B:B,"")</f>
        <v>#NAME?</v>
      </c>
    </row>
    <row r="125" customFormat="false" ht="15" hidden="false" customHeight="false" outlineLevel="0" collapsed="false">
      <c r="A125" s="0" t="s">
        <v>762</v>
      </c>
      <c r="B125" s="0" t="s">
        <v>209</v>
      </c>
      <c r="C125" s="0" t="s">
        <v>35</v>
      </c>
      <c r="D125" s="0" t="n">
        <v>55</v>
      </c>
      <c r="E125" s="0" t="s">
        <v>36</v>
      </c>
      <c r="F125" s="0" t="s">
        <v>160</v>
      </c>
      <c r="G125" s="0" t="s">
        <v>763</v>
      </c>
      <c r="H125" s="0" t="s">
        <v>79</v>
      </c>
      <c r="I125" s="0" t="s">
        <v>764</v>
      </c>
      <c r="J125" s="4" t="n">
        <v>45760</v>
      </c>
      <c r="K125" s="0" t="s">
        <v>765</v>
      </c>
      <c r="L125" s="0" t="s">
        <v>119</v>
      </c>
      <c r="M125" s="5" t="n">
        <v>899</v>
      </c>
      <c r="N125" s="0" t="n">
        <v>4</v>
      </c>
      <c r="O125" s="0" t="s">
        <v>101</v>
      </c>
      <c r="P125" s="0" t="n">
        <v>4</v>
      </c>
      <c r="Q125" s="5" t="n">
        <v>120</v>
      </c>
      <c r="R125" s="4" t="n">
        <v>45764</v>
      </c>
      <c r="S125" s="0" t="s">
        <v>470</v>
      </c>
      <c r="T125" s="0" t="n">
        <f aca="false">R125-J125</f>
        <v>4</v>
      </c>
      <c r="U125" s="5" t="n">
        <f aca="false">M125*N125</f>
        <v>3596</v>
      </c>
      <c r="V125" s="6" t="n">
        <f aca="false">IF(O125="FLAT5",5%,IF(O125="FLAT10",10%,IF(O125="FLAT15",15%,IF(O125="FLAT20",20%,0))))</f>
        <v>0.15</v>
      </c>
      <c r="W125" s="5" t="n">
        <f aca="false">U125*(1-V125)</f>
        <v>3056.6</v>
      </c>
      <c r="X125" s="5" t="n">
        <f aca="false">W125+IF(O125="DEL0",0,Q125)</f>
        <v>3176.6</v>
      </c>
      <c r="Y125" s="0" t="str">
        <f aca="false">B125&amp;" "&amp;C125</f>
        <v>Ishaan Sharma</v>
      </c>
      <c r="Z125" s="0" t="str">
        <f aca="false">IF(T125&lt;P125,"BeforeTime",IF(T125=P125,"Intime","Late"))</f>
        <v>Intime</v>
      </c>
      <c r="AA125" s="0" t="str">
        <f aca="false">TEXT(J125,"mmm")</f>
        <v>Apr</v>
      </c>
      <c r="AB125" s="0" t="e">
        <f aca="false">xlookup(L125,Products!A:A,Products!B:B,"")</f>
        <v>#NAME?</v>
      </c>
    </row>
    <row r="126" customFormat="false" ht="15" hidden="false" customHeight="false" outlineLevel="0" collapsed="false">
      <c r="A126" s="0" t="s">
        <v>507</v>
      </c>
      <c r="B126" s="0" t="s">
        <v>174</v>
      </c>
      <c r="C126" s="0" t="s">
        <v>113</v>
      </c>
      <c r="D126" s="0" t="n">
        <v>46</v>
      </c>
      <c r="E126" s="0" t="s">
        <v>36</v>
      </c>
      <c r="F126" s="0" t="s">
        <v>202</v>
      </c>
      <c r="G126" s="0" t="s">
        <v>766</v>
      </c>
      <c r="H126" s="0" t="s">
        <v>212</v>
      </c>
      <c r="I126" s="0" t="s">
        <v>767</v>
      </c>
      <c r="J126" s="4" t="n">
        <v>45806</v>
      </c>
      <c r="K126" s="0" t="s">
        <v>444</v>
      </c>
      <c r="L126" s="0" t="s">
        <v>136</v>
      </c>
      <c r="M126" s="5" t="n">
        <v>1799</v>
      </c>
      <c r="N126" s="0" t="n">
        <v>4</v>
      </c>
      <c r="O126" s="0" t="s">
        <v>91</v>
      </c>
      <c r="P126" s="0" t="n">
        <v>2</v>
      </c>
      <c r="Q126" s="5" t="n">
        <v>90</v>
      </c>
      <c r="R126" s="4" t="n">
        <v>45807</v>
      </c>
      <c r="S126" s="0" t="s">
        <v>768</v>
      </c>
      <c r="T126" s="0" t="n">
        <f aca="false">R126-J126</f>
        <v>1</v>
      </c>
      <c r="U126" s="5" t="n">
        <f aca="false">M126*N126</f>
        <v>7196</v>
      </c>
      <c r="V126" s="6" t="n">
        <f aca="false">IF(O126="FLAT5",5%,IF(O126="FLAT10",10%,IF(O126="FLAT15",15%,IF(O126="FLAT20",20%,0))))</f>
        <v>0.1</v>
      </c>
      <c r="W126" s="5" t="n">
        <f aca="false">U126*(1-V126)</f>
        <v>6476.4</v>
      </c>
      <c r="X126" s="5" t="n">
        <f aca="false">W126+IF(O126="DEL0",0,Q126)</f>
        <v>6566.4</v>
      </c>
      <c r="Y126" s="0" t="str">
        <f aca="false">B126&amp;" "&amp;C126</f>
        <v>Ananya Rao</v>
      </c>
      <c r="Z126" s="0" t="str">
        <f aca="false">IF(T126&lt;P126,"BeforeTime",IF(T126=P126,"Intime","Late"))</f>
        <v>BeforeTime</v>
      </c>
      <c r="AA126" s="0" t="str">
        <f aca="false">TEXT(J126,"mmm")</f>
        <v>May</v>
      </c>
      <c r="AB126" s="0" t="e">
        <f aca="false">xlookup(L126,Products!A:A,Products!B:B,"")</f>
        <v>#NAME?</v>
      </c>
    </row>
    <row r="127" customFormat="false" ht="15" hidden="false" customHeight="false" outlineLevel="0" collapsed="false">
      <c r="A127" s="0" t="s">
        <v>422</v>
      </c>
      <c r="B127" s="0" t="s">
        <v>269</v>
      </c>
      <c r="C127" s="0" t="s">
        <v>167</v>
      </c>
      <c r="D127" s="0" t="n">
        <v>28</v>
      </c>
      <c r="E127" s="0" t="s">
        <v>48</v>
      </c>
      <c r="F127" s="0" t="s">
        <v>114</v>
      </c>
      <c r="G127" s="0" t="s">
        <v>769</v>
      </c>
      <c r="H127" s="0" t="s">
        <v>770</v>
      </c>
      <c r="I127" s="0" t="s">
        <v>771</v>
      </c>
      <c r="J127" s="4" t="n">
        <v>45892</v>
      </c>
      <c r="K127" s="0" t="s">
        <v>772</v>
      </c>
      <c r="L127" s="0" t="s">
        <v>100</v>
      </c>
      <c r="M127" s="5" t="n">
        <v>999</v>
      </c>
      <c r="N127" s="0" t="n">
        <v>1</v>
      </c>
      <c r="O127" s="0" t="s">
        <v>91</v>
      </c>
      <c r="P127" s="0" t="n">
        <v>7</v>
      </c>
      <c r="Q127" s="5" t="n">
        <v>50</v>
      </c>
      <c r="R127" s="4" t="n">
        <v>45899</v>
      </c>
      <c r="S127" s="0" t="s">
        <v>660</v>
      </c>
      <c r="T127" s="0" t="n">
        <f aca="false">R127-J127</f>
        <v>7</v>
      </c>
      <c r="U127" s="5" t="n">
        <f aca="false">M127*N127</f>
        <v>999</v>
      </c>
      <c r="V127" s="6" t="n">
        <f aca="false">IF(O127="FLAT5",5%,IF(O127="FLAT10",10%,IF(O127="FLAT15",15%,IF(O127="FLAT20",20%,0))))</f>
        <v>0.1</v>
      </c>
      <c r="W127" s="5" t="n">
        <f aca="false">U127*(1-V127)</f>
        <v>899.1</v>
      </c>
      <c r="X127" s="5" t="n">
        <f aca="false">W127+IF(O127="DEL0",0,Q127)</f>
        <v>949.1</v>
      </c>
      <c r="Y127" s="0" t="str">
        <f aca="false">B127&amp;" "&amp;C127</f>
        <v>Varun Chowdhury</v>
      </c>
      <c r="Z127" s="0" t="str">
        <f aca="false">IF(T127&lt;P127,"BeforeTime",IF(T127=P127,"Intime","Late"))</f>
        <v>Intime</v>
      </c>
      <c r="AA127" s="0" t="str">
        <f aca="false">TEXT(J127,"mmm")</f>
        <v>Aug</v>
      </c>
      <c r="AB127" s="0" t="e">
        <f aca="false">xlookup(L127,Products!A:A,Products!B:B,"")</f>
        <v>#NAME?</v>
      </c>
    </row>
    <row r="128" customFormat="false" ht="15" hidden="false" customHeight="false" outlineLevel="0" collapsed="false">
      <c r="A128" s="0" t="s">
        <v>773</v>
      </c>
      <c r="B128" s="0" t="s">
        <v>188</v>
      </c>
      <c r="C128" s="0" t="s">
        <v>113</v>
      </c>
      <c r="D128" s="0" t="n">
        <v>45</v>
      </c>
      <c r="E128" s="0" t="s">
        <v>48</v>
      </c>
      <c r="F128" s="0" t="s">
        <v>77</v>
      </c>
      <c r="G128" s="0" t="s">
        <v>774</v>
      </c>
      <c r="H128" s="0" t="s">
        <v>775</v>
      </c>
      <c r="I128" s="0" t="s">
        <v>776</v>
      </c>
      <c r="J128" s="4" t="n">
        <v>45706</v>
      </c>
      <c r="K128" s="0" t="s">
        <v>449</v>
      </c>
      <c r="L128" s="0" t="s">
        <v>391</v>
      </c>
      <c r="M128" s="5" t="n">
        <v>3499</v>
      </c>
      <c r="N128" s="0" t="n">
        <v>1</v>
      </c>
      <c r="O128" s="0" t="s">
        <v>91</v>
      </c>
      <c r="P128" s="0" t="n">
        <v>3</v>
      </c>
      <c r="Q128" s="5" t="n">
        <v>60</v>
      </c>
      <c r="R128" s="4" t="n">
        <v>45713</v>
      </c>
      <c r="S128" s="0" t="s">
        <v>273</v>
      </c>
      <c r="T128" s="0" t="n">
        <f aca="false">R128-J128</f>
        <v>7</v>
      </c>
      <c r="U128" s="5" t="n">
        <f aca="false">M128*N128</f>
        <v>3499</v>
      </c>
      <c r="V128" s="6" t="n">
        <f aca="false">IF(O128="FLAT5",5%,IF(O128="FLAT10",10%,IF(O128="FLAT15",15%,IF(O128="FLAT20",20%,0))))</f>
        <v>0.1</v>
      </c>
      <c r="W128" s="5" t="n">
        <f aca="false">U128*(1-V128)</f>
        <v>3149.1</v>
      </c>
      <c r="X128" s="5" t="n">
        <f aca="false">W128+IF(O128="DEL0",0,Q128)</f>
        <v>3209.1</v>
      </c>
      <c r="Y128" s="0" t="str">
        <f aca="false">B128&amp;" "&amp;C128</f>
        <v>Rohan Rao</v>
      </c>
      <c r="Z128" s="0" t="str">
        <f aca="false">IF(T128&lt;P128,"BeforeTime",IF(T128=P128,"Intime","Late"))</f>
        <v>Late</v>
      </c>
      <c r="AA128" s="0" t="str">
        <f aca="false">TEXT(J128,"mmm")</f>
        <v>Feb</v>
      </c>
      <c r="AB128" s="0" t="e">
        <f aca="false">xlookup(L128,Products!A:A,Products!B:B,"")</f>
        <v>#NAME?</v>
      </c>
    </row>
    <row r="129" customFormat="false" ht="15" hidden="false" customHeight="false" outlineLevel="0" collapsed="false">
      <c r="A129" s="0" t="s">
        <v>93</v>
      </c>
      <c r="B129" s="0" t="s">
        <v>75</v>
      </c>
      <c r="C129" s="0" t="s">
        <v>229</v>
      </c>
      <c r="D129" s="0" t="n">
        <v>39</v>
      </c>
      <c r="E129" s="0" t="s">
        <v>36</v>
      </c>
      <c r="F129" s="0" t="s">
        <v>114</v>
      </c>
      <c r="G129" s="0" t="s">
        <v>777</v>
      </c>
      <c r="H129" s="0" t="s">
        <v>778</v>
      </c>
      <c r="I129" s="0" t="s">
        <v>779</v>
      </c>
      <c r="J129" s="4" t="n">
        <v>45689</v>
      </c>
      <c r="K129" s="0" t="s">
        <v>780</v>
      </c>
      <c r="L129" s="0" t="s">
        <v>119</v>
      </c>
      <c r="M129" s="5" t="n">
        <v>899</v>
      </c>
      <c r="N129" s="0" t="n">
        <v>3</v>
      </c>
      <c r="O129" s="0" t="s">
        <v>54</v>
      </c>
      <c r="P129" s="0" t="n">
        <v>7</v>
      </c>
      <c r="Q129" s="5" t="n">
        <v>0</v>
      </c>
      <c r="R129" s="4" t="n">
        <v>45692</v>
      </c>
      <c r="S129" s="0" t="s">
        <v>781</v>
      </c>
      <c r="T129" s="0" t="n">
        <f aca="false">R129-J129</f>
        <v>3</v>
      </c>
      <c r="U129" s="5" t="n">
        <f aca="false">M129*N129</f>
        <v>2697</v>
      </c>
      <c r="V129" s="6" t="n">
        <f aca="false">IF(O129="FLAT5",5%,IF(O129="FLAT10",10%,IF(O129="FLAT15",15%,IF(O129="FLAT20",20%,0))))</f>
        <v>0</v>
      </c>
      <c r="W129" s="5" t="n">
        <f aca="false">U129*(1-V129)</f>
        <v>2697</v>
      </c>
      <c r="X129" s="5" t="n">
        <f aca="false">W129+IF(O129="DEL0",0,Q129)</f>
        <v>2697</v>
      </c>
      <c r="Y129" s="0" t="str">
        <f aca="false">B129&amp;" "&amp;C129</f>
        <v>Vikram Joshi</v>
      </c>
      <c r="Z129" s="0" t="str">
        <f aca="false">IF(T129&lt;P129,"BeforeTime",IF(T129=P129,"Intime","Late"))</f>
        <v>BeforeTime</v>
      </c>
      <c r="AA129" s="0" t="str">
        <f aca="false">TEXT(J129,"mmm")</f>
        <v>Feb</v>
      </c>
      <c r="AB129" s="0" t="e">
        <f aca="false">xlookup(L129,Products!A:A,Products!B:B,"")</f>
        <v>#NAME?</v>
      </c>
    </row>
    <row r="130" customFormat="false" ht="15" hidden="false" customHeight="false" outlineLevel="0" collapsed="false">
      <c r="A130" s="0" t="s">
        <v>782</v>
      </c>
      <c r="B130" s="0" t="s">
        <v>34</v>
      </c>
      <c r="C130" s="0" t="s">
        <v>368</v>
      </c>
      <c r="D130" s="0" t="n">
        <v>43</v>
      </c>
      <c r="E130" s="0" t="s">
        <v>36</v>
      </c>
      <c r="F130" s="0" t="s">
        <v>37</v>
      </c>
      <c r="G130" s="0" t="s">
        <v>783</v>
      </c>
      <c r="H130" s="0" t="s">
        <v>126</v>
      </c>
      <c r="I130" s="0" t="s">
        <v>784</v>
      </c>
      <c r="J130" s="4" t="n">
        <v>45968</v>
      </c>
      <c r="K130" s="0" t="s">
        <v>785</v>
      </c>
      <c r="L130" s="0" t="s">
        <v>42</v>
      </c>
      <c r="M130" s="5" t="n">
        <v>2199</v>
      </c>
      <c r="N130" s="0" t="n">
        <v>4</v>
      </c>
      <c r="O130" s="0" t="s">
        <v>83</v>
      </c>
      <c r="P130" s="0" t="n">
        <v>4</v>
      </c>
      <c r="Q130" s="5" t="n">
        <v>90</v>
      </c>
      <c r="R130" s="4" t="n">
        <v>45972</v>
      </c>
      <c r="S130" s="0" t="s">
        <v>298</v>
      </c>
      <c r="T130" s="0" t="n">
        <f aca="false">R130-J130</f>
        <v>4</v>
      </c>
      <c r="U130" s="5" t="n">
        <f aca="false">M130*N130</f>
        <v>8796</v>
      </c>
      <c r="V130" s="6" t="n">
        <f aca="false">IF(O130="FLAT5",5%,IF(O130="FLAT10",10%,IF(O130="FLAT15",15%,IF(O130="FLAT20",20%,0))))</f>
        <v>0.05</v>
      </c>
      <c r="W130" s="5" t="n">
        <f aca="false">U130*(1-V130)</f>
        <v>8356.2</v>
      </c>
      <c r="X130" s="5" t="n">
        <f aca="false">W130+IF(O130="DEL0",0,Q130)</f>
        <v>8446.2</v>
      </c>
      <c r="Y130" s="0" t="str">
        <f aca="false">B130&amp;" "&amp;C130</f>
        <v>Diya Das</v>
      </c>
      <c r="Z130" s="0" t="str">
        <f aca="false">IF(T130&lt;P130,"BeforeTime",IF(T130=P130,"Intime","Late"))</f>
        <v>Intime</v>
      </c>
      <c r="AA130" s="0" t="str">
        <f aca="false">TEXT(J130,"mmm")</f>
        <v>Nov</v>
      </c>
      <c r="AB130" s="0" t="e">
        <f aca="false">xlookup(L130,Products!A:A,Products!B:B,"")</f>
        <v>#NAME?</v>
      </c>
    </row>
    <row r="131" customFormat="false" ht="15" hidden="false" customHeight="false" outlineLevel="0" collapsed="false">
      <c r="A131" s="0" t="s">
        <v>786</v>
      </c>
      <c r="B131" s="0" t="s">
        <v>405</v>
      </c>
      <c r="C131" s="0" t="s">
        <v>76</v>
      </c>
      <c r="D131" s="0" t="n">
        <v>53</v>
      </c>
      <c r="E131" s="0" t="s">
        <v>48</v>
      </c>
      <c r="F131" s="0" t="s">
        <v>77</v>
      </c>
      <c r="G131" s="0" t="s">
        <v>787</v>
      </c>
      <c r="H131" s="0" t="s">
        <v>788</v>
      </c>
      <c r="I131" s="0" t="s">
        <v>789</v>
      </c>
      <c r="J131" s="4" t="n">
        <v>45946</v>
      </c>
      <c r="K131" s="0" t="s">
        <v>790</v>
      </c>
      <c r="L131" s="0" t="s">
        <v>82</v>
      </c>
      <c r="M131" s="5" t="n">
        <v>1199</v>
      </c>
      <c r="N131" s="0" t="n">
        <v>3</v>
      </c>
      <c r="O131" s="0" t="s">
        <v>83</v>
      </c>
      <c r="P131" s="0" t="n">
        <v>2</v>
      </c>
      <c r="Q131" s="5" t="n">
        <v>90</v>
      </c>
      <c r="R131" s="4" t="n">
        <v>45947</v>
      </c>
      <c r="S131" s="0" t="s">
        <v>791</v>
      </c>
      <c r="T131" s="0" t="n">
        <f aca="false">R131-J131</f>
        <v>1</v>
      </c>
      <c r="U131" s="5" t="n">
        <f aca="false">M131*N131</f>
        <v>3597</v>
      </c>
      <c r="V131" s="6" t="n">
        <f aca="false">IF(O131="FLAT5",5%,IF(O131="FLAT10",10%,IF(O131="FLAT15",15%,IF(O131="FLAT20",20%,0))))</f>
        <v>0.05</v>
      </c>
      <c r="W131" s="5" t="n">
        <f aca="false">U131*(1-V131)</f>
        <v>3417.15</v>
      </c>
      <c r="X131" s="5" t="n">
        <f aca="false">W131+IF(O131="DEL0",0,Q131)</f>
        <v>3507.15</v>
      </c>
      <c r="Y131" s="0" t="str">
        <f aca="false">B131&amp;" "&amp;C131</f>
        <v>Sneha Patel</v>
      </c>
      <c r="Z131" s="0" t="str">
        <f aca="false">IF(T131&lt;P131,"BeforeTime",IF(T131=P131,"Intime","Late"))</f>
        <v>BeforeTime</v>
      </c>
      <c r="AA131" s="0" t="str">
        <f aca="false">TEXT(J131,"mmm")</f>
        <v>Oct</v>
      </c>
      <c r="AB131" s="0" t="e">
        <f aca="false">xlookup(L131,Products!A:A,Products!B:B,"")</f>
        <v>#NAME?</v>
      </c>
    </row>
    <row r="132" customFormat="false" ht="15" hidden="false" customHeight="false" outlineLevel="0" collapsed="false">
      <c r="A132" s="0" t="s">
        <v>792</v>
      </c>
      <c r="B132" s="0" t="s">
        <v>86</v>
      </c>
      <c r="C132" s="0" t="s">
        <v>105</v>
      </c>
      <c r="D132" s="0" t="n">
        <v>27</v>
      </c>
      <c r="E132" s="0" t="s">
        <v>36</v>
      </c>
      <c r="F132" s="0" t="s">
        <v>124</v>
      </c>
      <c r="G132" s="0" t="s">
        <v>793</v>
      </c>
      <c r="H132" s="0" t="s">
        <v>183</v>
      </c>
      <c r="I132" s="0" t="s">
        <v>794</v>
      </c>
      <c r="J132" s="4" t="n">
        <v>45886</v>
      </c>
      <c r="K132" s="0" t="s">
        <v>402</v>
      </c>
      <c r="L132" s="0" t="s">
        <v>53</v>
      </c>
      <c r="M132" s="5" t="n">
        <v>2499</v>
      </c>
      <c r="N132" s="0" t="n">
        <v>1</v>
      </c>
      <c r="O132" s="0" t="s">
        <v>259</v>
      </c>
      <c r="P132" s="0" t="n">
        <v>2</v>
      </c>
      <c r="Q132" s="5" t="n">
        <v>90</v>
      </c>
      <c r="R132" s="4" t="n">
        <v>45888</v>
      </c>
      <c r="S132" s="0" t="s">
        <v>795</v>
      </c>
      <c r="T132" s="0" t="n">
        <f aca="false">R132-J132</f>
        <v>2</v>
      </c>
      <c r="U132" s="5" t="n">
        <f aca="false">M132*N132</f>
        <v>2499</v>
      </c>
      <c r="V132" s="6" t="n">
        <f aca="false">IF(O132="FLAT5",5%,IF(O132="FLAT10",10%,IF(O132="FLAT15",15%,IF(O132="FLAT20",20%,0))))</f>
        <v>0</v>
      </c>
      <c r="W132" s="5" t="n">
        <f aca="false">U132*(1-V132)</f>
        <v>2499</v>
      </c>
      <c r="X132" s="5" t="n">
        <f aca="false">W132+IF(O132="DEL0",0,Q132)</f>
        <v>2589</v>
      </c>
      <c r="Y132" s="0" t="str">
        <f aca="false">B132&amp;" "&amp;C132</f>
        <v>Rahul Bhat</v>
      </c>
      <c r="Z132" s="0" t="str">
        <f aca="false">IF(T132&lt;P132,"BeforeTime",IF(T132=P132,"Intime","Late"))</f>
        <v>Intime</v>
      </c>
      <c r="AA132" s="0" t="str">
        <f aca="false">TEXT(J132,"mmm")</f>
        <v>Aug</v>
      </c>
      <c r="AB132" s="0" t="e">
        <f aca="false">xlookup(L132,Products!A:A,Products!B:B,"")</f>
        <v>#NAME?</v>
      </c>
    </row>
    <row r="133" customFormat="false" ht="15" hidden="false" customHeight="false" outlineLevel="0" collapsed="false">
      <c r="A133" s="0" t="s">
        <v>138</v>
      </c>
      <c r="B133" s="0" t="s">
        <v>122</v>
      </c>
      <c r="C133" s="0" t="s">
        <v>35</v>
      </c>
      <c r="D133" s="0" t="n">
        <v>45</v>
      </c>
      <c r="E133" s="0" t="s">
        <v>48</v>
      </c>
      <c r="F133" s="0" t="s">
        <v>202</v>
      </c>
      <c r="G133" s="0" t="s">
        <v>796</v>
      </c>
      <c r="H133" s="0" t="s">
        <v>797</v>
      </c>
      <c r="I133" s="0" t="s">
        <v>798</v>
      </c>
      <c r="J133" s="4" t="n">
        <v>45681</v>
      </c>
      <c r="K133" s="0" t="s">
        <v>799</v>
      </c>
      <c r="L133" s="0" t="s">
        <v>82</v>
      </c>
      <c r="M133" s="5" t="n">
        <v>1199</v>
      </c>
      <c r="N133" s="0" t="n">
        <v>2</v>
      </c>
      <c r="O133" s="0" t="s">
        <v>101</v>
      </c>
      <c r="P133" s="0" t="n">
        <v>5</v>
      </c>
      <c r="Q133" s="5" t="n">
        <v>40</v>
      </c>
      <c r="R133" s="4" t="n">
        <v>45686</v>
      </c>
      <c r="S133" s="0" t="s">
        <v>800</v>
      </c>
      <c r="T133" s="0" t="n">
        <f aca="false">R133-J133</f>
        <v>5</v>
      </c>
      <c r="U133" s="5" t="n">
        <f aca="false">M133*N133</f>
        <v>2398</v>
      </c>
      <c r="V133" s="6" t="n">
        <f aca="false">IF(O133="FLAT5",5%,IF(O133="FLAT10",10%,IF(O133="FLAT15",15%,IF(O133="FLAT20",20%,0))))</f>
        <v>0.15</v>
      </c>
      <c r="W133" s="5" t="n">
        <f aca="false">U133*(1-V133)</f>
        <v>2038.3</v>
      </c>
      <c r="X133" s="5" t="n">
        <f aca="false">W133+IF(O133="DEL0",0,Q133)</f>
        <v>2078.3</v>
      </c>
      <c r="Y133" s="0" t="str">
        <f aca="false">B133&amp;" "&amp;C133</f>
        <v>Meera Sharma</v>
      </c>
      <c r="Z133" s="0" t="str">
        <f aca="false">IF(T133&lt;P133,"BeforeTime",IF(T133=P133,"Intime","Late"))</f>
        <v>Intime</v>
      </c>
      <c r="AA133" s="0" t="str">
        <f aca="false">TEXT(J133,"mmm")</f>
        <v>Jan</v>
      </c>
      <c r="AB133" s="0" t="e">
        <f aca="false">xlookup(L133,Products!A:A,Products!B:B,"")</f>
        <v>#NAME?</v>
      </c>
    </row>
    <row r="134" customFormat="false" ht="15" hidden="false" customHeight="false" outlineLevel="0" collapsed="false">
      <c r="A134" s="0" t="s">
        <v>355</v>
      </c>
      <c r="B134" s="0" t="s">
        <v>582</v>
      </c>
      <c r="C134" s="0" t="s">
        <v>195</v>
      </c>
      <c r="D134" s="0" t="n">
        <v>46</v>
      </c>
      <c r="E134" s="0" t="s">
        <v>48</v>
      </c>
      <c r="F134" s="0" t="s">
        <v>160</v>
      </c>
      <c r="G134" s="0" t="s">
        <v>801</v>
      </c>
      <c r="H134" s="0" t="s">
        <v>802</v>
      </c>
      <c r="I134" s="0" t="s">
        <v>803</v>
      </c>
      <c r="J134" s="4" t="n">
        <v>46007</v>
      </c>
      <c r="K134" s="0" t="s">
        <v>186</v>
      </c>
      <c r="L134" s="0" t="s">
        <v>53</v>
      </c>
      <c r="M134" s="5" t="n">
        <v>2499</v>
      </c>
      <c r="N134" s="0" t="n">
        <v>4</v>
      </c>
      <c r="O134" s="0" t="s">
        <v>91</v>
      </c>
      <c r="P134" s="0" t="n">
        <v>7</v>
      </c>
      <c r="Q134" s="5" t="n">
        <v>120</v>
      </c>
      <c r="R134" s="4" t="n">
        <v>46016</v>
      </c>
      <c r="S134" s="0" t="s">
        <v>541</v>
      </c>
      <c r="T134" s="0" t="n">
        <f aca="false">R134-J134</f>
        <v>9</v>
      </c>
      <c r="U134" s="5" t="n">
        <f aca="false">M134*N134</f>
        <v>9996</v>
      </c>
      <c r="V134" s="6" t="n">
        <f aca="false">IF(O134="FLAT5",5%,IF(O134="FLAT10",10%,IF(O134="FLAT15",15%,IF(O134="FLAT20",20%,0))))</f>
        <v>0.1</v>
      </c>
      <c r="W134" s="5" t="n">
        <f aca="false">U134*(1-V134)</f>
        <v>8996.4</v>
      </c>
      <c r="X134" s="5" t="n">
        <f aca="false">W134+IF(O134="DEL0",0,Q134)</f>
        <v>9116.4</v>
      </c>
      <c r="Y134" s="0" t="str">
        <f aca="false">B134&amp;" "&amp;C134</f>
        <v>Kavya Singh</v>
      </c>
      <c r="Z134" s="0" t="str">
        <f aca="false">IF(T134&lt;P134,"BeforeTime",IF(T134=P134,"Intime","Late"))</f>
        <v>Late</v>
      </c>
      <c r="AA134" s="0" t="str">
        <f aca="false">TEXT(J134,"mmm")</f>
        <v>Dec</v>
      </c>
      <c r="AB134" s="0" t="e">
        <f aca="false">xlookup(L134,Products!A:A,Products!B:B,"")</f>
        <v>#NAME?</v>
      </c>
    </row>
    <row r="135" customFormat="false" ht="15" hidden="false" customHeight="false" outlineLevel="0" collapsed="false">
      <c r="A135" s="0" t="s">
        <v>804</v>
      </c>
      <c r="B135" s="0" t="s">
        <v>209</v>
      </c>
      <c r="C135" s="0" t="s">
        <v>123</v>
      </c>
      <c r="D135" s="0" t="n">
        <v>20</v>
      </c>
      <c r="E135" s="0" t="s">
        <v>36</v>
      </c>
      <c r="F135" s="0" t="s">
        <v>114</v>
      </c>
      <c r="G135" s="0" t="s">
        <v>805</v>
      </c>
      <c r="H135" s="0" t="s">
        <v>806</v>
      </c>
      <c r="I135" s="0" t="s">
        <v>807</v>
      </c>
      <c r="J135" s="4" t="n">
        <v>45775</v>
      </c>
      <c r="K135" s="0" t="s">
        <v>808</v>
      </c>
      <c r="L135" s="0" t="s">
        <v>53</v>
      </c>
      <c r="M135" s="5" t="n">
        <v>2499</v>
      </c>
      <c r="N135" s="0" t="n">
        <v>4</v>
      </c>
      <c r="O135" s="0" t="s">
        <v>101</v>
      </c>
      <c r="P135" s="0" t="n">
        <v>3</v>
      </c>
      <c r="Q135" s="5" t="n">
        <v>50</v>
      </c>
      <c r="R135" s="4" t="n">
        <v>45778</v>
      </c>
      <c r="S135" s="0" t="s">
        <v>241</v>
      </c>
      <c r="T135" s="0" t="n">
        <f aca="false">R135-J135</f>
        <v>3</v>
      </c>
      <c r="U135" s="5" t="n">
        <f aca="false">M135*N135</f>
        <v>9996</v>
      </c>
      <c r="V135" s="6" t="n">
        <f aca="false">IF(O135="FLAT5",5%,IF(O135="FLAT10",10%,IF(O135="FLAT15",15%,IF(O135="FLAT20",20%,0))))</f>
        <v>0.15</v>
      </c>
      <c r="W135" s="5" t="n">
        <f aca="false">U135*(1-V135)</f>
        <v>8496.6</v>
      </c>
      <c r="X135" s="5" t="n">
        <f aca="false">W135+IF(O135="DEL0",0,Q135)</f>
        <v>8546.6</v>
      </c>
      <c r="Y135" s="0" t="str">
        <f aca="false">B135&amp;" "&amp;C135</f>
        <v>Ishaan Nair</v>
      </c>
      <c r="Z135" s="0" t="str">
        <f aca="false">IF(T135&lt;P135,"BeforeTime",IF(T135=P135,"Intime","Late"))</f>
        <v>Intime</v>
      </c>
      <c r="AA135" s="0" t="str">
        <f aca="false">TEXT(J135,"mmm")</f>
        <v>Apr</v>
      </c>
      <c r="AB135" s="0" t="e">
        <f aca="false">xlookup(L135,Products!A:A,Products!B:B,"")</f>
        <v>#NAME?</v>
      </c>
    </row>
    <row r="136" customFormat="false" ht="15" hidden="false" customHeight="false" outlineLevel="0" collapsed="false">
      <c r="A136" s="0" t="s">
        <v>416</v>
      </c>
      <c r="B136" s="0" t="s">
        <v>104</v>
      </c>
      <c r="C136" s="0" t="s">
        <v>35</v>
      </c>
      <c r="D136" s="0" t="n">
        <v>35</v>
      </c>
      <c r="E136" s="0" t="s">
        <v>36</v>
      </c>
      <c r="F136" s="0" t="s">
        <v>140</v>
      </c>
      <c r="G136" s="0" t="s">
        <v>809</v>
      </c>
      <c r="H136" s="0" t="s">
        <v>810</v>
      </c>
      <c r="I136" s="0" t="s">
        <v>811</v>
      </c>
      <c r="J136" s="4" t="n">
        <v>46002</v>
      </c>
      <c r="K136" s="0" t="s">
        <v>812</v>
      </c>
      <c r="L136" s="0" t="s">
        <v>129</v>
      </c>
      <c r="M136" s="5" t="n">
        <v>2999</v>
      </c>
      <c r="N136" s="0" t="n">
        <v>1</v>
      </c>
      <c r="O136" s="0" t="s">
        <v>101</v>
      </c>
      <c r="P136" s="0" t="n">
        <v>7</v>
      </c>
      <c r="Q136" s="5" t="n">
        <v>120</v>
      </c>
      <c r="R136" s="4" t="n">
        <v>46011</v>
      </c>
      <c r="S136" s="0" t="s">
        <v>298</v>
      </c>
      <c r="T136" s="0" t="n">
        <f aca="false">R136-J136</f>
        <v>9</v>
      </c>
      <c r="U136" s="5" t="n">
        <f aca="false">M136*N136</f>
        <v>2999</v>
      </c>
      <c r="V136" s="6" t="n">
        <f aca="false">IF(O136="FLAT5",5%,IF(O136="FLAT10",10%,IF(O136="FLAT15",15%,IF(O136="FLAT20",20%,0))))</f>
        <v>0.15</v>
      </c>
      <c r="W136" s="5" t="n">
        <f aca="false">U136*(1-V136)</f>
        <v>2549.15</v>
      </c>
      <c r="X136" s="5" t="n">
        <f aca="false">W136+IF(O136="DEL0",0,Q136)</f>
        <v>2669.15</v>
      </c>
      <c r="Y136" s="0" t="str">
        <f aca="false">B136&amp;" "&amp;C136</f>
        <v>Keerthi Sharma</v>
      </c>
      <c r="Z136" s="0" t="str">
        <f aca="false">IF(T136&lt;P136,"BeforeTime",IF(T136=P136,"Intime","Late"))</f>
        <v>Late</v>
      </c>
      <c r="AA136" s="0" t="str">
        <f aca="false">TEXT(J136,"mmm")</f>
        <v>Dec</v>
      </c>
      <c r="AB136" s="0" t="e">
        <f aca="false">xlookup(L136,Products!A:A,Products!B:B,"")</f>
        <v>#NAME?</v>
      </c>
    </row>
    <row r="137" customFormat="false" ht="15" hidden="false" customHeight="false" outlineLevel="0" collapsed="false">
      <c r="A137" s="0" t="s">
        <v>813</v>
      </c>
      <c r="B137" s="0" t="s">
        <v>174</v>
      </c>
      <c r="C137" s="0" t="s">
        <v>195</v>
      </c>
      <c r="D137" s="0" t="n">
        <v>52</v>
      </c>
      <c r="E137" s="0" t="s">
        <v>48</v>
      </c>
      <c r="F137" s="0" t="s">
        <v>37</v>
      </c>
      <c r="G137" s="0" t="s">
        <v>814</v>
      </c>
      <c r="H137" s="0" t="s">
        <v>815</v>
      </c>
      <c r="I137" s="0" t="s">
        <v>816</v>
      </c>
      <c r="J137" s="4" t="n">
        <v>46002</v>
      </c>
      <c r="K137" s="0" t="s">
        <v>817</v>
      </c>
      <c r="L137" s="0" t="s">
        <v>82</v>
      </c>
      <c r="M137" s="5" t="n">
        <v>1199</v>
      </c>
      <c r="N137" s="0" t="n">
        <v>3</v>
      </c>
      <c r="O137" s="0" t="s">
        <v>101</v>
      </c>
      <c r="P137" s="0" t="n">
        <v>4</v>
      </c>
      <c r="Q137" s="5" t="n">
        <v>50</v>
      </c>
      <c r="R137" s="4" t="n">
        <v>46006</v>
      </c>
      <c r="S137" s="0" t="s">
        <v>818</v>
      </c>
      <c r="T137" s="0" t="n">
        <f aca="false">R137-J137</f>
        <v>4</v>
      </c>
      <c r="U137" s="5" t="n">
        <f aca="false">M137*N137</f>
        <v>3597</v>
      </c>
      <c r="V137" s="6" t="n">
        <f aca="false">IF(O137="FLAT5",5%,IF(O137="FLAT10",10%,IF(O137="FLAT15",15%,IF(O137="FLAT20",20%,0))))</f>
        <v>0.15</v>
      </c>
      <c r="W137" s="5" t="n">
        <f aca="false">U137*(1-V137)</f>
        <v>3057.45</v>
      </c>
      <c r="X137" s="5" t="n">
        <f aca="false">W137+IF(O137="DEL0",0,Q137)</f>
        <v>3107.45</v>
      </c>
      <c r="Y137" s="0" t="str">
        <f aca="false">B137&amp;" "&amp;C137</f>
        <v>Ananya Singh</v>
      </c>
      <c r="Z137" s="0" t="str">
        <f aca="false">IF(T137&lt;P137,"BeforeTime",IF(T137=P137,"Intime","Late"))</f>
        <v>Intime</v>
      </c>
      <c r="AA137" s="0" t="str">
        <f aca="false">TEXT(J137,"mmm")</f>
        <v>Dec</v>
      </c>
      <c r="AB137" s="0" t="e">
        <f aca="false">xlookup(L137,Products!A:A,Products!B:B,"")</f>
        <v>#NAME?</v>
      </c>
    </row>
    <row r="138" customFormat="false" ht="15" hidden="false" customHeight="false" outlineLevel="0" collapsed="false">
      <c r="A138" s="0" t="s">
        <v>819</v>
      </c>
      <c r="B138" s="0" t="s">
        <v>46</v>
      </c>
      <c r="C138" s="0" t="s">
        <v>113</v>
      </c>
      <c r="D138" s="0" t="n">
        <v>47</v>
      </c>
      <c r="E138" s="0" t="s">
        <v>48</v>
      </c>
      <c r="F138" s="0" t="s">
        <v>202</v>
      </c>
      <c r="G138" s="0" t="s">
        <v>820</v>
      </c>
      <c r="H138" s="0" t="s">
        <v>696</v>
      </c>
      <c r="I138" s="0" t="s">
        <v>821</v>
      </c>
      <c r="J138" s="4" t="n">
        <v>45821</v>
      </c>
      <c r="K138" s="0" t="s">
        <v>822</v>
      </c>
      <c r="L138" s="0" t="s">
        <v>391</v>
      </c>
      <c r="M138" s="5" t="n">
        <v>3499</v>
      </c>
      <c r="N138" s="0" t="n">
        <v>4</v>
      </c>
      <c r="O138" s="0" t="s">
        <v>54</v>
      </c>
      <c r="P138" s="0" t="n">
        <v>7</v>
      </c>
      <c r="Q138" s="5" t="n">
        <v>0</v>
      </c>
      <c r="R138" s="4" t="n">
        <v>45828</v>
      </c>
      <c r="S138" s="0" t="s">
        <v>144</v>
      </c>
      <c r="T138" s="0" t="n">
        <f aca="false">R138-J138</f>
        <v>7</v>
      </c>
      <c r="U138" s="5" t="n">
        <f aca="false">M138*N138</f>
        <v>13996</v>
      </c>
      <c r="V138" s="6" t="n">
        <f aca="false">IF(O138="FLAT5",5%,IF(O138="FLAT10",10%,IF(O138="FLAT15",15%,IF(O138="FLAT20",20%,0))))</f>
        <v>0</v>
      </c>
      <c r="W138" s="5" t="n">
        <f aca="false">U138*(1-V138)</f>
        <v>13996</v>
      </c>
      <c r="X138" s="5" t="n">
        <f aca="false">W138+IF(O138="DEL0",0,Q138)</f>
        <v>13996</v>
      </c>
      <c r="Y138" s="0" t="str">
        <f aca="false">B138&amp;" "&amp;C138</f>
        <v>Sanjana Rao</v>
      </c>
      <c r="Z138" s="0" t="str">
        <f aca="false">IF(T138&lt;P138,"BeforeTime",IF(T138=P138,"Intime","Late"))</f>
        <v>Intime</v>
      </c>
      <c r="AA138" s="0" t="str">
        <f aca="false">TEXT(J138,"mmm")</f>
        <v>Jun</v>
      </c>
      <c r="AB138" s="0" t="e">
        <f aca="false">xlookup(L138,Products!A:A,Products!B:B,"")</f>
        <v>#NAME?</v>
      </c>
    </row>
    <row r="139" customFormat="false" ht="15" hidden="false" customHeight="false" outlineLevel="0" collapsed="false">
      <c r="A139" s="0" t="s">
        <v>823</v>
      </c>
      <c r="B139" s="0" t="s">
        <v>405</v>
      </c>
      <c r="C139" s="0" t="s">
        <v>123</v>
      </c>
      <c r="D139" s="0" t="n">
        <v>39</v>
      </c>
      <c r="E139" s="0" t="s">
        <v>36</v>
      </c>
      <c r="F139" s="0" t="s">
        <v>248</v>
      </c>
      <c r="G139" s="0" t="s">
        <v>824</v>
      </c>
      <c r="H139" s="0" t="s">
        <v>825</v>
      </c>
      <c r="I139" s="0" t="s">
        <v>826</v>
      </c>
      <c r="J139" s="4" t="n">
        <v>45943</v>
      </c>
      <c r="K139" s="0" t="s">
        <v>827</v>
      </c>
      <c r="L139" s="0" t="s">
        <v>110</v>
      </c>
      <c r="M139" s="5" t="n">
        <v>1499</v>
      </c>
      <c r="N139" s="0" t="n">
        <v>4</v>
      </c>
      <c r="O139" s="0" t="s">
        <v>259</v>
      </c>
      <c r="P139" s="0" t="n">
        <v>6</v>
      </c>
      <c r="Q139" s="5" t="n">
        <v>60</v>
      </c>
      <c r="R139" s="4" t="n">
        <v>45945</v>
      </c>
      <c r="S139" s="0" t="s">
        <v>828</v>
      </c>
      <c r="T139" s="0" t="n">
        <f aca="false">R139-J139</f>
        <v>2</v>
      </c>
      <c r="U139" s="5" t="n">
        <f aca="false">M139*N139</f>
        <v>5996</v>
      </c>
      <c r="V139" s="6" t="n">
        <f aca="false">IF(O139="FLAT5",5%,IF(O139="FLAT10",10%,IF(O139="FLAT15",15%,IF(O139="FLAT20",20%,0))))</f>
        <v>0</v>
      </c>
      <c r="W139" s="5" t="n">
        <f aca="false">U139*(1-V139)</f>
        <v>5996</v>
      </c>
      <c r="X139" s="5" t="n">
        <f aca="false">W139+IF(O139="DEL0",0,Q139)</f>
        <v>6056</v>
      </c>
      <c r="Y139" s="0" t="str">
        <f aca="false">B139&amp;" "&amp;C139</f>
        <v>Sneha Nair</v>
      </c>
      <c r="Z139" s="0" t="str">
        <f aca="false">IF(T139&lt;P139,"BeforeTime",IF(T139=P139,"Intime","Late"))</f>
        <v>BeforeTime</v>
      </c>
      <c r="AA139" s="0" t="str">
        <f aca="false">TEXT(J139,"mmm")</f>
        <v>Oct</v>
      </c>
      <c r="AB139" s="0" t="e">
        <f aca="false">xlookup(L139,Products!A:A,Products!B:B,"")</f>
        <v>#NAME?</v>
      </c>
    </row>
    <row r="140" customFormat="false" ht="15" hidden="false" customHeight="false" outlineLevel="0" collapsed="false">
      <c r="A140" s="0" t="s">
        <v>829</v>
      </c>
      <c r="B140" s="0" t="s">
        <v>46</v>
      </c>
      <c r="C140" s="0" t="s">
        <v>47</v>
      </c>
      <c r="D140" s="0" t="n">
        <v>23</v>
      </c>
      <c r="E140" s="0" t="s">
        <v>48</v>
      </c>
      <c r="F140" s="0" t="s">
        <v>160</v>
      </c>
      <c r="G140" s="0" t="s">
        <v>830</v>
      </c>
      <c r="H140" s="0" t="s">
        <v>831</v>
      </c>
      <c r="I140" s="0" t="s">
        <v>832</v>
      </c>
      <c r="J140" s="4" t="n">
        <v>45754</v>
      </c>
      <c r="K140" s="0" t="s">
        <v>833</v>
      </c>
      <c r="L140" s="0" t="s">
        <v>119</v>
      </c>
      <c r="M140" s="5" t="n">
        <v>899</v>
      </c>
      <c r="N140" s="0" t="n">
        <v>1</v>
      </c>
      <c r="O140" s="0" t="s">
        <v>259</v>
      </c>
      <c r="P140" s="0" t="n">
        <v>6</v>
      </c>
      <c r="Q140" s="5" t="n">
        <v>90</v>
      </c>
      <c r="R140" s="4" t="n">
        <v>45760</v>
      </c>
      <c r="S140" s="0" t="s">
        <v>817</v>
      </c>
      <c r="T140" s="0" t="n">
        <f aca="false">R140-J140</f>
        <v>6</v>
      </c>
      <c r="U140" s="5" t="n">
        <f aca="false">M140*N140</f>
        <v>899</v>
      </c>
      <c r="V140" s="6" t="n">
        <f aca="false">IF(O140="FLAT5",5%,IF(O140="FLAT10",10%,IF(O140="FLAT15",15%,IF(O140="FLAT20",20%,0))))</f>
        <v>0</v>
      </c>
      <c r="W140" s="5" t="n">
        <f aca="false">U140*(1-V140)</f>
        <v>899</v>
      </c>
      <c r="X140" s="5" t="n">
        <f aca="false">W140+IF(O140="DEL0",0,Q140)</f>
        <v>989</v>
      </c>
      <c r="Y140" s="0" t="str">
        <f aca="false">B140&amp;" "&amp;C140</f>
        <v>Sanjana Verma</v>
      </c>
      <c r="Z140" s="0" t="str">
        <f aca="false">IF(T140&lt;P140,"BeforeTime",IF(T140=P140,"Intime","Late"))</f>
        <v>Intime</v>
      </c>
      <c r="AA140" s="0" t="str">
        <f aca="false">TEXT(J140,"mmm")</f>
        <v>Apr</v>
      </c>
      <c r="AB140" s="0" t="e">
        <f aca="false">xlookup(L140,Products!A:A,Products!B:B,"")</f>
        <v>#NAME?</v>
      </c>
    </row>
    <row r="141" customFormat="false" ht="15" hidden="false" customHeight="false" outlineLevel="0" collapsed="false">
      <c r="A141" s="0" t="s">
        <v>834</v>
      </c>
      <c r="B141" s="0" t="s">
        <v>139</v>
      </c>
      <c r="C141" s="0" t="s">
        <v>47</v>
      </c>
      <c r="D141" s="0" t="n">
        <v>32</v>
      </c>
      <c r="E141" s="0" t="s">
        <v>36</v>
      </c>
      <c r="F141" s="0" t="s">
        <v>248</v>
      </c>
      <c r="G141" s="0" t="s">
        <v>835</v>
      </c>
      <c r="H141" s="0" t="s">
        <v>836</v>
      </c>
      <c r="I141" s="0" t="s">
        <v>837</v>
      </c>
      <c r="J141" s="4" t="n">
        <v>45780</v>
      </c>
      <c r="K141" s="0" t="s">
        <v>838</v>
      </c>
      <c r="L141" s="0" t="s">
        <v>100</v>
      </c>
      <c r="M141" s="5" t="n">
        <v>999</v>
      </c>
      <c r="N141" s="0" t="n">
        <v>2</v>
      </c>
      <c r="O141" s="0" t="s">
        <v>91</v>
      </c>
      <c r="P141" s="0" t="n">
        <v>6</v>
      </c>
      <c r="Q141" s="5" t="n">
        <v>60</v>
      </c>
      <c r="R141" s="4" t="n">
        <v>45786</v>
      </c>
      <c r="S141" s="0" t="s">
        <v>587</v>
      </c>
      <c r="T141" s="0" t="n">
        <f aca="false">R141-J141</f>
        <v>6</v>
      </c>
      <c r="U141" s="5" t="n">
        <f aca="false">M141*N141</f>
        <v>1998</v>
      </c>
      <c r="V141" s="6" t="n">
        <f aca="false">IF(O141="FLAT5",5%,IF(O141="FLAT10",10%,IF(O141="FLAT15",15%,IF(O141="FLAT20",20%,0))))</f>
        <v>0.1</v>
      </c>
      <c r="W141" s="5" t="n">
        <f aca="false">U141*(1-V141)</f>
        <v>1798.2</v>
      </c>
      <c r="X141" s="5" t="n">
        <f aca="false">W141+IF(O141="DEL0",0,Q141)</f>
        <v>1858.2</v>
      </c>
      <c r="Y141" s="0" t="str">
        <f aca="false">B141&amp;" "&amp;C141</f>
        <v>Aarav Verma</v>
      </c>
      <c r="Z141" s="0" t="str">
        <f aca="false">IF(T141&lt;P141,"BeforeTime",IF(T141=P141,"Intime","Late"))</f>
        <v>Intime</v>
      </c>
      <c r="AA141" s="0" t="str">
        <f aca="false">TEXT(J141,"mmm")</f>
        <v>May</v>
      </c>
      <c r="AB141" s="0" t="e">
        <f aca="false">xlookup(L141,Products!A:A,Products!B:B,"")</f>
        <v>#NAME?</v>
      </c>
    </row>
    <row r="142" customFormat="false" ht="15" hidden="false" customHeight="false" outlineLevel="0" collapsed="false">
      <c r="A142" s="0" t="s">
        <v>839</v>
      </c>
      <c r="B142" s="0" t="s">
        <v>67</v>
      </c>
      <c r="C142" s="0" t="s">
        <v>167</v>
      </c>
      <c r="D142" s="0" t="n">
        <v>49</v>
      </c>
      <c r="E142" s="0" t="s">
        <v>36</v>
      </c>
      <c r="F142" s="0" t="s">
        <v>248</v>
      </c>
      <c r="G142" s="0" t="s">
        <v>840</v>
      </c>
      <c r="H142" s="0" t="s">
        <v>370</v>
      </c>
      <c r="I142" s="0" t="s">
        <v>841</v>
      </c>
      <c r="J142" s="4" t="n">
        <v>45869</v>
      </c>
      <c r="K142" s="0" t="s">
        <v>591</v>
      </c>
      <c r="L142" s="0" t="s">
        <v>391</v>
      </c>
      <c r="M142" s="5" t="n">
        <v>3499</v>
      </c>
      <c r="N142" s="0" t="n">
        <v>2</v>
      </c>
      <c r="O142" s="0" t="s">
        <v>91</v>
      </c>
      <c r="P142" s="0" t="n">
        <v>2</v>
      </c>
      <c r="Q142" s="5" t="n">
        <v>50</v>
      </c>
      <c r="R142" s="4" t="n">
        <v>45871</v>
      </c>
      <c r="S142" s="0" t="s">
        <v>178</v>
      </c>
      <c r="T142" s="0" t="n">
        <f aca="false">R142-J142</f>
        <v>2</v>
      </c>
      <c r="U142" s="5" t="n">
        <f aca="false">M142*N142</f>
        <v>6998</v>
      </c>
      <c r="V142" s="6" t="n">
        <f aca="false">IF(O142="FLAT5",5%,IF(O142="FLAT10",10%,IF(O142="FLAT15",15%,IF(O142="FLAT20",20%,0))))</f>
        <v>0.1</v>
      </c>
      <c r="W142" s="5" t="n">
        <f aca="false">U142*(1-V142)</f>
        <v>6298.2</v>
      </c>
      <c r="X142" s="5" t="n">
        <f aca="false">W142+IF(O142="DEL0",0,Q142)</f>
        <v>6348.2</v>
      </c>
      <c r="Y142" s="0" t="str">
        <f aca="false">B142&amp;" "&amp;C142</f>
        <v>Priya Chowdhury</v>
      </c>
      <c r="Z142" s="0" t="str">
        <f aca="false">IF(T142&lt;P142,"BeforeTime",IF(T142=P142,"Intime","Late"))</f>
        <v>Intime</v>
      </c>
      <c r="AA142" s="0" t="str">
        <f aca="false">TEXT(J142,"mmm")</f>
        <v>Jul</v>
      </c>
      <c r="AB142" s="0" t="e">
        <f aca="false">xlookup(L142,Products!A:A,Products!B:B,"")</f>
        <v>#NAME?</v>
      </c>
    </row>
    <row r="143" customFormat="false" ht="15" hidden="false" customHeight="false" outlineLevel="0" collapsed="false">
      <c r="A143" s="0" t="s">
        <v>131</v>
      </c>
      <c r="B143" s="0" t="s">
        <v>282</v>
      </c>
      <c r="C143" s="0" t="s">
        <v>368</v>
      </c>
      <c r="D143" s="0" t="n">
        <v>29</v>
      </c>
      <c r="E143" s="0" t="s">
        <v>36</v>
      </c>
      <c r="F143" s="0" t="s">
        <v>59</v>
      </c>
      <c r="G143" s="0" t="s">
        <v>842</v>
      </c>
      <c r="H143" s="0" t="s">
        <v>446</v>
      </c>
      <c r="I143" s="0" t="s">
        <v>843</v>
      </c>
      <c r="J143" s="4" t="n">
        <v>45783</v>
      </c>
      <c r="K143" s="0" t="s">
        <v>844</v>
      </c>
      <c r="L143" s="0" t="s">
        <v>100</v>
      </c>
      <c r="M143" s="5" t="n">
        <v>999</v>
      </c>
      <c r="N143" s="0" t="n">
        <v>4</v>
      </c>
      <c r="O143" s="0" t="s">
        <v>101</v>
      </c>
      <c r="P143" s="0" t="n">
        <v>5</v>
      </c>
      <c r="Q143" s="5" t="n">
        <v>120</v>
      </c>
      <c r="R143" s="4" t="n">
        <v>45788</v>
      </c>
      <c r="S143" s="0" t="s">
        <v>845</v>
      </c>
      <c r="T143" s="0" t="n">
        <f aca="false">R143-J143</f>
        <v>5</v>
      </c>
      <c r="U143" s="5" t="n">
        <f aca="false">M143*N143</f>
        <v>3996</v>
      </c>
      <c r="V143" s="6" t="n">
        <f aca="false">IF(O143="FLAT5",5%,IF(O143="FLAT10",10%,IF(O143="FLAT15",15%,IF(O143="FLAT20",20%,0))))</f>
        <v>0.15</v>
      </c>
      <c r="W143" s="5" t="n">
        <f aca="false">U143*(1-V143)</f>
        <v>3396.6</v>
      </c>
      <c r="X143" s="5" t="n">
        <f aca="false">W143+IF(O143="DEL0",0,Q143)</f>
        <v>3516.6</v>
      </c>
      <c r="Y143" s="0" t="str">
        <f aca="false">B143&amp;" "&amp;C143</f>
        <v>Nisha Das</v>
      </c>
      <c r="Z143" s="0" t="str">
        <f aca="false">IF(T143&lt;P143,"BeforeTime",IF(T143=P143,"Intime","Late"))</f>
        <v>Intime</v>
      </c>
      <c r="AA143" s="0" t="str">
        <f aca="false">TEXT(J143,"mmm")</f>
        <v>May</v>
      </c>
      <c r="AB143" s="0" t="e">
        <f aca="false">xlookup(L143,Products!A:A,Products!B:B,"")</f>
        <v>#NAME?</v>
      </c>
    </row>
    <row r="144" customFormat="false" ht="15" hidden="false" customHeight="false" outlineLevel="0" collapsed="false">
      <c r="A144" s="0" t="s">
        <v>281</v>
      </c>
      <c r="B144" s="0" t="s">
        <v>394</v>
      </c>
      <c r="C144" s="0" t="s">
        <v>113</v>
      </c>
      <c r="D144" s="0" t="n">
        <v>42</v>
      </c>
      <c r="E144" s="0" t="s">
        <v>36</v>
      </c>
      <c r="F144" s="0" t="s">
        <v>262</v>
      </c>
      <c r="G144" s="0" t="s">
        <v>846</v>
      </c>
      <c r="H144" s="0" t="s">
        <v>847</v>
      </c>
      <c r="I144" s="0" t="s">
        <v>848</v>
      </c>
      <c r="J144" s="4" t="n">
        <v>45935</v>
      </c>
      <c r="K144" s="0" t="s">
        <v>849</v>
      </c>
      <c r="L144" s="0" t="s">
        <v>82</v>
      </c>
      <c r="M144" s="5" t="n">
        <v>1199</v>
      </c>
      <c r="N144" s="0" t="n">
        <v>4</v>
      </c>
      <c r="O144" s="0" t="s">
        <v>91</v>
      </c>
      <c r="P144" s="0" t="n">
        <v>7</v>
      </c>
      <c r="Q144" s="5" t="n">
        <v>40</v>
      </c>
      <c r="R144" s="4" t="n">
        <v>45943</v>
      </c>
      <c r="S144" s="0" t="s">
        <v>850</v>
      </c>
      <c r="T144" s="0" t="n">
        <f aca="false">R144-J144</f>
        <v>8</v>
      </c>
      <c r="U144" s="5" t="n">
        <f aca="false">M144*N144</f>
        <v>4796</v>
      </c>
      <c r="V144" s="6" t="n">
        <f aca="false">IF(O144="FLAT5",5%,IF(O144="FLAT10",10%,IF(O144="FLAT15",15%,IF(O144="FLAT20",20%,0))))</f>
        <v>0.1</v>
      </c>
      <c r="W144" s="5" t="n">
        <f aca="false">U144*(1-V144)</f>
        <v>4316.4</v>
      </c>
      <c r="X144" s="5" t="n">
        <f aca="false">W144+IF(O144="DEL0",0,Q144)</f>
        <v>4356.4</v>
      </c>
      <c r="Y144" s="0" t="str">
        <f aca="false">B144&amp;" "&amp;C144</f>
        <v>Kiran Rao</v>
      </c>
      <c r="Z144" s="0" t="str">
        <f aca="false">IF(T144&lt;P144,"BeforeTime",IF(T144=P144,"Intime","Late"))</f>
        <v>Late</v>
      </c>
      <c r="AA144" s="0" t="str">
        <f aca="false">TEXT(J144,"mmm")</f>
        <v>Oct</v>
      </c>
      <c r="AB144" s="0" t="e">
        <f aca="false">xlookup(L144,Products!A:A,Products!B:B,"")</f>
        <v>#NAME?</v>
      </c>
    </row>
    <row r="145" customFormat="false" ht="15" hidden="false" customHeight="false" outlineLevel="0" collapsed="false">
      <c r="A145" s="0" t="s">
        <v>782</v>
      </c>
      <c r="B145" s="0" t="s">
        <v>405</v>
      </c>
      <c r="C145" s="0" t="s">
        <v>76</v>
      </c>
      <c r="D145" s="0" t="n">
        <v>29</v>
      </c>
      <c r="E145" s="0" t="s">
        <v>36</v>
      </c>
      <c r="F145" s="0" t="s">
        <v>37</v>
      </c>
      <c r="G145" s="0" t="s">
        <v>851</v>
      </c>
      <c r="H145" s="0" t="s">
        <v>852</v>
      </c>
      <c r="I145" s="0" t="s">
        <v>853</v>
      </c>
      <c r="J145" s="4" t="n">
        <v>45974</v>
      </c>
      <c r="K145" s="0" t="s">
        <v>854</v>
      </c>
      <c r="L145" s="0" t="s">
        <v>240</v>
      </c>
      <c r="M145" s="5" t="n">
        <v>4999</v>
      </c>
      <c r="N145" s="0" t="n">
        <v>4</v>
      </c>
      <c r="O145" s="0" t="s">
        <v>91</v>
      </c>
      <c r="P145" s="0" t="n">
        <v>7</v>
      </c>
      <c r="Q145" s="5" t="n">
        <v>90</v>
      </c>
      <c r="R145" s="4" t="n">
        <v>45981</v>
      </c>
      <c r="S145" s="0" t="s">
        <v>855</v>
      </c>
      <c r="T145" s="0" t="n">
        <f aca="false">R145-J145</f>
        <v>7</v>
      </c>
      <c r="U145" s="5" t="n">
        <f aca="false">M145*N145</f>
        <v>19996</v>
      </c>
      <c r="V145" s="6" t="n">
        <f aca="false">IF(O145="FLAT5",5%,IF(O145="FLAT10",10%,IF(O145="FLAT15",15%,IF(O145="FLAT20",20%,0))))</f>
        <v>0.1</v>
      </c>
      <c r="W145" s="5" t="n">
        <f aca="false">U145*(1-V145)</f>
        <v>17996.4</v>
      </c>
      <c r="X145" s="5" t="n">
        <f aca="false">W145+IF(O145="DEL0",0,Q145)</f>
        <v>18086.4</v>
      </c>
      <c r="Y145" s="0" t="str">
        <f aca="false">B145&amp;" "&amp;C145</f>
        <v>Sneha Patel</v>
      </c>
      <c r="Z145" s="0" t="str">
        <f aca="false">IF(T145&lt;P145,"BeforeTime",IF(T145=P145,"Intime","Late"))</f>
        <v>Intime</v>
      </c>
      <c r="AA145" s="0" t="str">
        <f aca="false">TEXT(J145,"mmm")</f>
        <v>Nov</v>
      </c>
      <c r="AB145" s="0" t="e">
        <f aca="false">xlookup(L145,Products!A:A,Products!B:B,"")</f>
        <v>#NAME?</v>
      </c>
    </row>
    <row r="146" customFormat="false" ht="15" hidden="false" customHeight="false" outlineLevel="0" collapsed="false">
      <c r="A146" s="0" t="s">
        <v>856</v>
      </c>
      <c r="B146" s="0" t="s">
        <v>282</v>
      </c>
      <c r="C146" s="0" t="s">
        <v>35</v>
      </c>
      <c r="D146" s="0" t="n">
        <v>21</v>
      </c>
      <c r="E146" s="0" t="s">
        <v>48</v>
      </c>
      <c r="F146" s="0" t="s">
        <v>77</v>
      </c>
      <c r="G146" s="0" t="s">
        <v>857</v>
      </c>
      <c r="H146" s="0" t="s">
        <v>584</v>
      </c>
      <c r="I146" s="0" t="s">
        <v>858</v>
      </c>
      <c r="J146" s="4" t="n">
        <v>46015</v>
      </c>
      <c r="K146" s="0" t="s">
        <v>303</v>
      </c>
      <c r="L146" s="0" t="s">
        <v>72</v>
      </c>
      <c r="M146" s="5" t="n">
        <v>1299</v>
      </c>
      <c r="N146" s="0" t="n">
        <v>1</v>
      </c>
      <c r="O146" s="0" t="s">
        <v>101</v>
      </c>
      <c r="P146" s="0" t="n">
        <v>7</v>
      </c>
      <c r="Q146" s="5" t="n">
        <v>50</v>
      </c>
      <c r="R146" s="4" t="n">
        <v>46022</v>
      </c>
      <c r="S146" s="0" t="s">
        <v>671</v>
      </c>
      <c r="T146" s="0" t="n">
        <f aca="false">R146-J146</f>
        <v>7</v>
      </c>
      <c r="U146" s="5" t="n">
        <f aca="false">M146*N146</f>
        <v>1299</v>
      </c>
      <c r="V146" s="6" t="n">
        <f aca="false">IF(O146="FLAT5",5%,IF(O146="FLAT10",10%,IF(O146="FLAT15",15%,IF(O146="FLAT20",20%,0))))</f>
        <v>0.15</v>
      </c>
      <c r="W146" s="5" t="n">
        <f aca="false">U146*(1-V146)</f>
        <v>1104.15</v>
      </c>
      <c r="X146" s="5" t="n">
        <f aca="false">W146+IF(O146="DEL0",0,Q146)</f>
        <v>1154.15</v>
      </c>
      <c r="Y146" s="0" t="str">
        <f aca="false">B146&amp;" "&amp;C146</f>
        <v>Nisha Sharma</v>
      </c>
      <c r="Z146" s="0" t="str">
        <f aca="false">IF(T146&lt;P146,"BeforeTime",IF(T146=P146,"Intime","Late"))</f>
        <v>Intime</v>
      </c>
      <c r="AA146" s="0" t="str">
        <f aca="false">TEXT(J146,"mmm")</f>
        <v>Dec</v>
      </c>
      <c r="AB146" s="0" t="e">
        <f aca="false">xlookup(L146,Products!A:A,Products!B:B,"")</f>
        <v>#NAME?</v>
      </c>
    </row>
    <row r="147" customFormat="false" ht="15" hidden="false" customHeight="false" outlineLevel="0" collapsed="false">
      <c r="A147" s="0" t="s">
        <v>859</v>
      </c>
      <c r="B147" s="0" t="s">
        <v>269</v>
      </c>
      <c r="C147" s="0" t="s">
        <v>181</v>
      </c>
      <c r="D147" s="0" t="n">
        <v>42</v>
      </c>
      <c r="E147" s="0" t="s">
        <v>48</v>
      </c>
      <c r="F147" s="0" t="s">
        <v>160</v>
      </c>
      <c r="G147" s="0" t="s">
        <v>860</v>
      </c>
      <c r="H147" s="0" t="s">
        <v>435</v>
      </c>
      <c r="I147" s="0" t="s">
        <v>861</v>
      </c>
      <c r="J147" s="4" t="n">
        <v>45893</v>
      </c>
      <c r="K147" s="0" t="s">
        <v>862</v>
      </c>
      <c r="L147" s="0" t="s">
        <v>129</v>
      </c>
      <c r="M147" s="5" t="n">
        <v>2999</v>
      </c>
      <c r="N147" s="0" t="n">
        <v>3</v>
      </c>
      <c r="O147" s="0" t="s">
        <v>259</v>
      </c>
      <c r="P147" s="0" t="n">
        <v>6</v>
      </c>
      <c r="Q147" s="5" t="n">
        <v>120</v>
      </c>
      <c r="R147" s="4" t="n">
        <v>45899</v>
      </c>
      <c r="S147" s="0" t="s">
        <v>863</v>
      </c>
      <c r="T147" s="0" t="n">
        <f aca="false">R147-J147</f>
        <v>6</v>
      </c>
      <c r="U147" s="5" t="n">
        <f aca="false">M147*N147</f>
        <v>8997</v>
      </c>
      <c r="V147" s="6" t="n">
        <f aca="false">IF(O147="FLAT5",5%,IF(O147="FLAT10",10%,IF(O147="FLAT15",15%,IF(O147="FLAT20",20%,0))))</f>
        <v>0</v>
      </c>
      <c r="W147" s="5" t="n">
        <f aca="false">U147*(1-V147)</f>
        <v>8997</v>
      </c>
      <c r="X147" s="5" t="n">
        <f aca="false">W147+IF(O147="DEL0",0,Q147)</f>
        <v>9117</v>
      </c>
      <c r="Y147" s="0" t="str">
        <f aca="false">B147&amp;" "&amp;C147</f>
        <v>Varun Gupta</v>
      </c>
      <c r="Z147" s="0" t="str">
        <f aca="false">IF(T147&lt;P147,"BeforeTime",IF(T147=P147,"Intime","Late"))</f>
        <v>Intime</v>
      </c>
      <c r="AA147" s="0" t="str">
        <f aca="false">TEXT(J147,"mmm")</f>
        <v>Aug</v>
      </c>
      <c r="AB147" s="0" t="e">
        <f aca="false">xlookup(L147,Products!A:A,Products!B:B,"")</f>
        <v>#NAME?</v>
      </c>
    </row>
    <row r="148" customFormat="false" ht="15" hidden="false" customHeight="false" outlineLevel="0" collapsed="false">
      <c r="A148" s="0" t="s">
        <v>864</v>
      </c>
      <c r="B148" s="0" t="s">
        <v>174</v>
      </c>
      <c r="C148" s="0" t="s">
        <v>76</v>
      </c>
      <c r="D148" s="0" t="n">
        <v>45</v>
      </c>
      <c r="E148" s="0" t="s">
        <v>48</v>
      </c>
      <c r="F148" s="0" t="s">
        <v>160</v>
      </c>
      <c r="G148" s="0" t="s">
        <v>865</v>
      </c>
      <c r="H148" s="0" t="s">
        <v>866</v>
      </c>
      <c r="I148" s="0" t="s">
        <v>867</v>
      </c>
      <c r="J148" s="4" t="n">
        <v>45662</v>
      </c>
      <c r="K148" s="0" t="s">
        <v>868</v>
      </c>
      <c r="L148" s="0" t="s">
        <v>240</v>
      </c>
      <c r="M148" s="5" t="n">
        <v>4999</v>
      </c>
      <c r="N148" s="0" t="n">
        <v>4</v>
      </c>
      <c r="O148" s="0" t="s">
        <v>83</v>
      </c>
      <c r="P148" s="0" t="n">
        <v>7</v>
      </c>
      <c r="Q148" s="5" t="n">
        <v>75</v>
      </c>
      <c r="R148" s="4" t="n">
        <v>45666</v>
      </c>
      <c r="S148" s="0" t="s">
        <v>869</v>
      </c>
      <c r="T148" s="0" t="n">
        <f aca="false">R148-J148</f>
        <v>4</v>
      </c>
      <c r="U148" s="5" t="n">
        <f aca="false">M148*N148</f>
        <v>19996</v>
      </c>
      <c r="V148" s="6" t="n">
        <f aca="false">IF(O148="FLAT5",5%,IF(O148="FLAT10",10%,IF(O148="FLAT15",15%,IF(O148="FLAT20",20%,0))))</f>
        <v>0.05</v>
      </c>
      <c r="W148" s="5" t="n">
        <f aca="false">U148*(1-V148)</f>
        <v>18996.2</v>
      </c>
      <c r="X148" s="5" t="n">
        <f aca="false">W148+IF(O148="DEL0",0,Q148)</f>
        <v>19071.2</v>
      </c>
      <c r="Y148" s="0" t="str">
        <f aca="false">B148&amp;" "&amp;C148</f>
        <v>Ananya Patel</v>
      </c>
      <c r="Z148" s="0" t="str">
        <f aca="false">IF(T148&lt;P148,"BeforeTime",IF(T148=P148,"Intime","Late"))</f>
        <v>BeforeTime</v>
      </c>
      <c r="AA148" s="0" t="str">
        <f aca="false">TEXT(J148,"mmm")</f>
        <v>Jan</v>
      </c>
      <c r="AB148" s="0" t="e">
        <f aca="false">xlookup(L148,Products!A:A,Products!B:B,"")</f>
        <v>#NAME?</v>
      </c>
    </row>
    <row r="149" customFormat="false" ht="15" hidden="false" customHeight="false" outlineLevel="0" collapsed="false">
      <c r="A149" s="0" t="s">
        <v>481</v>
      </c>
      <c r="B149" s="0" t="s">
        <v>174</v>
      </c>
      <c r="C149" s="0" t="s">
        <v>123</v>
      </c>
      <c r="D149" s="0" t="n">
        <v>33</v>
      </c>
      <c r="E149" s="0" t="s">
        <v>48</v>
      </c>
      <c r="F149" s="0" t="s">
        <v>114</v>
      </c>
      <c r="G149" s="0" t="s">
        <v>870</v>
      </c>
      <c r="H149" s="0" t="s">
        <v>871</v>
      </c>
      <c r="I149" s="0" t="s">
        <v>872</v>
      </c>
      <c r="J149" s="4" t="n">
        <v>45801</v>
      </c>
      <c r="K149" s="0" t="s">
        <v>873</v>
      </c>
      <c r="L149" s="0" t="s">
        <v>110</v>
      </c>
      <c r="M149" s="5" t="n">
        <v>1499</v>
      </c>
      <c r="N149" s="0" t="n">
        <v>1</v>
      </c>
      <c r="O149" s="0" t="s">
        <v>54</v>
      </c>
      <c r="P149" s="0" t="n">
        <v>6</v>
      </c>
      <c r="Q149" s="5" t="n">
        <v>0</v>
      </c>
      <c r="R149" s="4" t="n">
        <v>45807</v>
      </c>
      <c r="S149" s="0" t="s">
        <v>874</v>
      </c>
      <c r="T149" s="0" t="n">
        <f aca="false">R149-J149</f>
        <v>6</v>
      </c>
      <c r="U149" s="5" t="n">
        <f aca="false">M149*N149</f>
        <v>1499</v>
      </c>
      <c r="V149" s="6" t="n">
        <f aca="false">IF(O149="FLAT5",5%,IF(O149="FLAT10",10%,IF(O149="FLAT15",15%,IF(O149="FLAT20",20%,0))))</f>
        <v>0</v>
      </c>
      <c r="W149" s="5" t="n">
        <f aca="false">U149*(1-V149)</f>
        <v>1499</v>
      </c>
      <c r="X149" s="5" t="n">
        <f aca="false">W149+IF(O149="DEL0",0,Q149)</f>
        <v>1499</v>
      </c>
      <c r="Y149" s="0" t="str">
        <f aca="false">B149&amp;" "&amp;C149</f>
        <v>Ananya Nair</v>
      </c>
      <c r="Z149" s="0" t="str">
        <f aca="false">IF(T149&lt;P149,"BeforeTime",IF(T149=P149,"Intime","Late"))</f>
        <v>Intime</v>
      </c>
      <c r="AA149" s="0" t="str">
        <f aca="false">TEXT(J149,"mmm")</f>
        <v>May</v>
      </c>
      <c r="AB149" s="0" t="e">
        <f aca="false">xlookup(L149,Products!A:A,Products!B:B,"")</f>
        <v>#NAME?</v>
      </c>
    </row>
    <row r="150" customFormat="false" ht="15" hidden="false" customHeight="false" outlineLevel="0" collapsed="false">
      <c r="A150" s="0" t="s">
        <v>875</v>
      </c>
      <c r="B150" s="0" t="s">
        <v>294</v>
      </c>
      <c r="C150" s="0" t="s">
        <v>76</v>
      </c>
      <c r="D150" s="0" t="n">
        <v>39</v>
      </c>
      <c r="E150" s="0" t="s">
        <v>36</v>
      </c>
      <c r="F150" s="0" t="s">
        <v>124</v>
      </c>
      <c r="G150" s="0" t="s">
        <v>876</v>
      </c>
      <c r="H150" s="0" t="s">
        <v>877</v>
      </c>
      <c r="I150" s="0" t="s">
        <v>878</v>
      </c>
      <c r="J150" s="4" t="n">
        <v>45934</v>
      </c>
      <c r="K150" s="0" t="s">
        <v>879</v>
      </c>
      <c r="L150" s="0" t="s">
        <v>100</v>
      </c>
      <c r="M150" s="5" t="n">
        <v>999</v>
      </c>
      <c r="N150" s="0" t="n">
        <v>4</v>
      </c>
      <c r="O150" s="0" t="s">
        <v>43</v>
      </c>
      <c r="P150" s="0" t="n">
        <v>4</v>
      </c>
      <c r="Q150" s="5" t="n">
        <v>120</v>
      </c>
      <c r="R150" s="4" t="n">
        <v>45938</v>
      </c>
      <c r="S150" s="0" t="s">
        <v>880</v>
      </c>
      <c r="T150" s="0" t="n">
        <f aca="false">R150-J150</f>
        <v>4</v>
      </c>
      <c r="U150" s="5" t="n">
        <f aca="false">M150*N150</f>
        <v>3996</v>
      </c>
      <c r="V150" s="6" t="n">
        <f aca="false">IF(O150="FLAT5",5%,IF(O150="FLAT10",10%,IF(O150="FLAT15",15%,IF(O150="FLAT20",20%,0))))</f>
        <v>0.2</v>
      </c>
      <c r="W150" s="5" t="n">
        <f aca="false">U150*(1-V150)</f>
        <v>3196.8</v>
      </c>
      <c r="X150" s="5" t="n">
        <f aca="false">W150+IF(O150="DEL0",0,Q150)</f>
        <v>3316.8</v>
      </c>
      <c r="Y150" s="0" t="str">
        <f aca="false">B150&amp;" "&amp;C150</f>
        <v>Aditya Patel</v>
      </c>
      <c r="Z150" s="0" t="str">
        <f aca="false">IF(T150&lt;P150,"BeforeTime",IF(T150=P150,"Intime","Late"))</f>
        <v>Intime</v>
      </c>
      <c r="AA150" s="0" t="str">
        <f aca="false">TEXT(J150,"mmm")</f>
        <v>Oct</v>
      </c>
      <c r="AB150" s="0" t="e">
        <f aca="false">xlookup(L150,Products!A:A,Products!B:B,"")</f>
        <v>#NAME?</v>
      </c>
    </row>
    <row r="151" customFormat="false" ht="15" hidden="false" customHeight="false" outlineLevel="0" collapsed="false">
      <c r="A151" s="0" t="s">
        <v>502</v>
      </c>
      <c r="B151" s="0" t="s">
        <v>34</v>
      </c>
      <c r="C151" s="0" t="s">
        <v>95</v>
      </c>
      <c r="D151" s="0" t="n">
        <v>34</v>
      </c>
      <c r="E151" s="0" t="s">
        <v>36</v>
      </c>
      <c r="F151" s="0" t="s">
        <v>59</v>
      </c>
      <c r="G151" s="0" t="s">
        <v>881</v>
      </c>
      <c r="H151" s="0" t="s">
        <v>882</v>
      </c>
      <c r="I151" s="0" t="s">
        <v>883</v>
      </c>
      <c r="J151" s="4" t="n">
        <v>45825</v>
      </c>
      <c r="K151" s="0" t="s">
        <v>884</v>
      </c>
      <c r="L151" s="0" t="s">
        <v>64</v>
      </c>
      <c r="M151" s="5" t="n">
        <v>2799</v>
      </c>
      <c r="N151" s="0" t="n">
        <v>4</v>
      </c>
      <c r="O151" s="0" t="s">
        <v>259</v>
      </c>
      <c r="P151" s="0" t="n">
        <v>2</v>
      </c>
      <c r="Q151" s="5" t="n">
        <v>75</v>
      </c>
      <c r="R151" s="4" t="n">
        <v>45827</v>
      </c>
      <c r="S151" s="0" t="s">
        <v>885</v>
      </c>
      <c r="T151" s="0" t="n">
        <f aca="false">R151-J151</f>
        <v>2</v>
      </c>
      <c r="U151" s="5" t="n">
        <f aca="false">M151*N151</f>
        <v>11196</v>
      </c>
      <c r="V151" s="6" t="n">
        <f aca="false">IF(O151="FLAT5",5%,IF(O151="FLAT10",10%,IF(O151="FLAT15",15%,IF(O151="FLAT20",20%,0))))</f>
        <v>0</v>
      </c>
      <c r="W151" s="5" t="n">
        <f aca="false">U151*(1-V151)</f>
        <v>11196</v>
      </c>
      <c r="X151" s="5" t="n">
        <f aca="false">W151+IF(O151="DEL0",0,Q151)</f>
        <v>11271</v>
      </c>
      <c r="Y151" s="0" t="str">
        <f aca="false">B151&amp;" "&amp;C151</f>
        <v>Diya Mishra</v>
      </c>
      <c r="Z151" s="0" t="str">
        <f aca="false">IF(T151&lt;P151,"BeforeTime",IF(T151=P151,"Intime","Late"))</f>
        <v>Intime</v>
      </c>
      <c r="AA151" s="0" t="str">
        <f aca="false">TEXT(J151,"mmm")</f>
        <v>Jun</v>
      </c>
      <c r="AB151" s="0" t="e">
        <f aca="false">xlookup(L151,Products!A:A,Products!B:B,"")</f>
        <v>#NAME?</v>
      </c>
    </row>
    <row r="152" customFormat="false" ht="15" hidden="false" customHeight="false" outlineLevel="0" collapsed="false">
      <c r="A152" s="0" t="s">
        <v>558</v>
      </c>
      <c r="B152" s="0" t="s">
        <v>94</v>
      </c>
      <c r="C152" s="0" t="s">
        <v>58</v>
      </c>
      <c r="D152" s="0" t="n">
        <v>25</v>
      </c>
      <c r="E152" s="0" t="s">
        <v>48</v>
      </c>
      <c r="F152" s="0" t="s">
        <v>37</v>
      </c>
      <c r="G152" s="0" t="s">
        <v>886</v>
      </c>
      <c r="H152" s="0" t="s">
        <v>887</v>
      </c>
      <c r="I152" s="0" t="s">
        <v>888</v>
      </c>
      <c r="J152" s="4" t="n">
        <v>45736</v>
      </c>
      <c r="K152" s="0" t="s">
        <v>889</v>
      </c>
      <c r="L152" s="0" t="s">
        <v>82</v>
      </c>
      <c r="M152" s="5" t="n">
        <v>1199</v>
      </c>
      <c r="N152" s="0" t="n">
        <v>1</v>
      </c>
      <c r="O152" s="0" t="s">
        <v>83</v>
      </c>
      <c r="P152" s="0" t="n">
        <v>5</v>
      </c>
      <c r="Q152" s="5" t="n">
        <v>120</v>
      </c>
      <c r="R152" s="4" t="n">
        <v>45741</v>
      </c>
      <c r="S152" s="0" t="s">
        <v>890</v>
      </c>
      <c r="T152" s="0" t="n">
        <f aca="false">R152-J152</f>
        <v>5</v>
      </c>
      <c r="U152" s="5" t="n">
        <f aca="false">M152*N152</f>
        <v>1199</v>
      </c>
      <c r="V152" s="6" t="n">
        <f aca="false">IF(O152="FLAT5",5%,IF(O152="FLAT10",10%,IF(O152="FLAT15",15%,IF(O152="FLAT20",20%,0))))</f>
        <v>0.05</v>
      </c>
      <c r="W152" s="5" t="n">
        <f aca="false">U152*(1-V152)</f>
        <v>1139.05</v>
      </c>
      <c r="X152" s="5" t="n">
        <f aca="false">W152+IF(O152="DEL0",0,Q152)</f>
        <v>1259.05</v>
      </c>
      <c r="Y152" s="0" t="str">
        <f aca="false">B152&amp;" "&amp;C152</f>
        <v>Manoj Iyer</v>
      </c>
      <c r="Z152" s="0" t="str">
        <f aca="false">IF(T152&lt;P152,"BeforeTime",IF(T152=P152,"Intime","Late"))</f>
        <v>Intime</v>
      </c>
      <c r="AA152" s="0" t="str">
        <f aca="false">TEXT(J152,"mmm")</f>
        <v>Mar</v>
      </c>
      <c r="AB152" s="0" t="e">
        <f aca="false">xlookup(L152,Products!A:A,Products!B:B,"")</f>
        <v>#NAME?</v>
      </c>
    </row>
    <row r="153" customFormat="false" ht="15" hidden="false" customHeight="false" outlineLevel="0" collapsed="false">
      <c r="A153" s="0" t="s">
        <v>891</v>
      </c>
      <c r="B153" s="0" t="s">
        <v>139</v>
      </c>
      <c r="C153" s="0" t="s">
        <v>368</v>
      </c>
      <c r="D153" s="0" t="n">
        <v>48</v>
      </c>
      <c r="E153" s="0" t="s">
        <v>48</v>
      </c>
      <c r="F153" s="0" t="s">
        <v>114</v>
      </c>
      <c r="G153" s="0" t="s">
        <v>892</v>
      </c>
      <c r="H153" s="0" t="s">
        <v>893</v>
      </c>
      <c r="I153" s="0" t="s">
        <v>894</v>
      </c>
      <c r="J153" s="4" t="n">
        <v>45878</v>
      </c>
      <c r="K153" s="0" t="s">
        <v>895</v>
      </c>
      <c r="L153" s="0" t="s">
        <v>129</v>
      </c>
      <c r="M153" s="5" t="n">
        <v>2999</v>
      </c>
      <c r="N153" s="0" t="n">
        <v>2</v>
      </c>
      <c r="O153" s="0" t="s">
        <v>83</v>
      </c>
      <c r="P153" s="0" t="n">
        <v>5</v>
      </c>
      <c r="Q153" s="5" t="n">
        <v>90</v>
      </c>
      <c r="R153" s="4" t="n">
        <v>45883</v>
      </c>
      <c r="S153" s="0" t="s">
        <v>896</v>
      </c>
      <c r="T153" s="0" t="n">
        <f aca="false">R153-J153</f>
        <v>5</v>
      </c>
      <c r="U153" s="5" t="n">
        <f aca="false">M153*N153</f>
        <v>5998</v>
      </c>
      <c r="V153" s="6" t="n">
        <f aca="false">IF(O153="FLAT5",5%,IF(O153="FLAT10",10%,IF(O153="FLAT15",15%,IF(O153="FLAT20",20%,0))))</f>
        <v>0.05</v>
      </c>
      <c r="W153" s="5" t="n">
        <f aca="false">U153*(1-V153)</f>
        <v>5698.1</v>
      </c>
      <c r="X153" s="5" t="n">
        <f aca="false">W153+IF(O153="DEL0",0,Q153)</f>
        <v>5788.1</v>
      </c>
      <c r="Y153" s="0" t="str">
        <f aca="false">B153&amp;" "&amp;C153</f>
        <v>Aarav Das</v>
      </c>
      <c r="Z153" s="0" t="str">
        <f aca="false">IF(T153&lt;P153,"BeforeTime",IF(T153=P153,"Intime","Late"))</f>
        <v>Intime</v>
      </c>
      <c r="AA153" s="0" t="str">
        <f aca="false">TEXT(J153,"mmm")</f>
        <v>Aug</v>
      </c>
      <c r="AB153" s="0" t="e">
        <f aca="false">xlookup(L153,Products!A:A,Products!B:B,"")</f>
        <v>#NAME?</v>
      </c>
    </row>
    <row r="154" customFormat="false" ht="15" hidden="false" customHeight="false" outlineLevel="0" collapsed="false">
      <c r="A154" s="0" t="s">
        <v>897</v>
      </c>
      <c r="B154" s="0" t="s">
        <v>104</v>
      </c>
      <c r="C154" s="0" t="s">
        <v>229</v>
      </c>
      <c r="D154" s="0" t="n">
        <v>44</v>
      </c>
      <c r="E154" s="0" t="s">
        <v>36</v>
      </c>
      <c r="F154" s="0" t="s">
        <v>114</v>
      </c>
      <c r="G154" s="0" t="s">
        <v>898</v>
      </c>
      <c r="H154" s="0" t="s">
        <v>97</v>
      </c>
      <c r="I154" s="0" t="s">
        <v>899</v>
      </c>
      <c r="J154" s="4" t="n">
        <v>45944</v>
      </c>
      <c r="K154" s="0" t="s">
        <v>546</v>
      </c>
      <c r="L154" s="0" t="s">
        <v>136</v>
      </c>
      <c r="M154" s="5" t="n">
        <v>1799</v>
      </c>
      <c r="N154" s="0" t="n">
        <v>4</v>
      </c>
      <c r="O154" s="0" t="s">
        <v>54</v>
      </c>
      <c r="P154" s="0" t="n">
        <v>3</v>
      </c>
      <c r="Q154" s="5" t="n">
        <v>0</v>
      </c>
      <c r="R154" s="4" t="n">
        <v>45947</v>
      </c>
      <c r="S154" s="0" t="s">
        <v>336</v>
      </c>
      <c r="T154" s="0" t="n">
        <f aca="false">R154-J154</f>
        <v>3</v>
      </c>
      <c r="U154" s="5" t="n">
        <f aca="false">M154*N154</f>
        <v>7196</v>
      </c>
      <c r="V154" s="6" t="n">
        <f aca="false">IF(O154="FLAT5",5%,IF(O154="FLAT10",10%,IF(O154="FLAT15",15%,IF(O154="FLAT20",20%,0))))</f>
        <v>0</v>
      </c>
      <c r="W154" s="5" t="n">
        <f aca="false">U154*(1-V154)</f>
        <v>7196</v>
      </c>
      <c r="X154" s="5" t="n">
        <f aca="false">W154+IF(O154="DEL0",0,Q154)</f>
        <v>7196</v>
      </c>
      <c r="Y154" s="0" t="str">
        <f aca="false">B154&amp;" "&amp;C154</f>
        <v>Keerthi Joshi</v>
      </c>
      <c r="Z154" s="0" t="str">
        <f aca="false">IF(T154&lt;P154,"BeforeTime",IF(T154=P154,"Intime","Late"))</f>
        <v>Intime</v>
      </c>
      <c r="AA154" s="0" t="str">
        <f aca="false">TEXT(J154,"mmm")</f>
        <v>Oct</v>
      </c>
      <c r="AB154" s="0" t="e">
        <f aca="false">xlookup(L154,Products!A:A,Products!B:B,"")</f>
        <v>#NAME?</v>
      </c>
    </row>
    <row r="155" customFormat="false" ht="15" hidden="false" customHeight="false" outlineLevel="0" collapsed="false">
      <c r="A155" s="0" t="s">
        <v>900</v>
      </c>
      <c r="B155" s="0" t="s">
        <v>75</v>
      </c>
      <c r="C155" s="0" t="s">
        <v>167</v>
      </c>
      <c r="D155" s="0" t="n">
        <v>29</v>
      </c>
      <c r="E155" s="0" t="s">
        <v>36</v>
      </c>
      <c r="F155" s="0" t="s">
        <v>262</v>
      </c>
      <c r="G155" s="0" t="s">
        <v>901</v>
      </c>
      <c r="H155" s="0" t="s">
        <v>902</v>
      </c>
      <c r="I155" s="0" t="s">
        <v>903</v>
      </c>
      <c r="J155" s="4" t="n">
        <v>45905</v>
      </c>
      <c r="K155" s="0" t="s">
        <v>580</v>
      </c>
      <c r="L155" s="0" t="s">
        <v>136</v>
      </c>
      <c r="M155" s="5" t="n">
        <v>1799</v>
      </c>
      <c r="N155" s="0" t="n">
        <v>3</v>
      </c>
      <c r="O155" s="0" t="s">
        <v>101</v>
      </c>
      <c r="P155" s="0" t="n">
        <v>2</v>
      </c>
      <c r="Q155" s="5" t="n">
        <v>50</v>
      </c>
      <c r="R155" s="4" t="n">
        <v>45907</v>
      </c>
      <c r="S155" s="0" t="s">
        <v>444</v>
      </c>
      <c r="T155" s="0" t="n">
        <f aca="false">R155-J155</f>
        <v>2</v>
      </c>
      <c r="U155" s="5" t="n">
        <f aca="false">M155*N155</f>
        <v>5397</v>
      </c>
      <c r="V155" s="6" t="n">
        <f aca="false">IF(O155="FLAT5",5%,IF(O155="FLAT10",10%,IF(O155="FLAT15",15%,IF(O155="FLAT20",20%,0))))</f>
        <v>0.15</v>
      </c>
      <c r="W155" s="5" t="n">
        <f aca="false">U155*(1-V155)</f>
        <v>4587.45</v>
      </c>
      <c r="X155" s="5" t="n">
        <f aca="false">W155+IF(O155="DEL0",0,Q155)</f>
        <v>4637.45</v>
      </c>
      <c r="Y155" s="0" t="str">
        <f aca="false">B155&amp;" "&amp;C155</f>
        <v>Vikram Chowdhury</v>
      </c>
      <c r="Z155" s="0" t="str">
        <f aca="false">IF(T155&lt;P155,"BeforeTime",IF(T155=P155,"Intime","Late"))</f>
        <v>Intime</v>
      </c>
      <c r="AA155" s="0" t="str">
        <f aca="false">TEXT(J155,"mmm")</f>
        <v>Sep</v>
      </c>
      <c r="AB155" s="0" t="e">
        <f aca="false">xlookup(L155,Products!A:A,Products!B:B,"")</f>
        <v>#NAME?</v>
      </c>
    </row>
    <row r="156" customFormat="false" ht="15" hidden="false" customHeight="false" outlineLevel="0" collapsed="false">
      <c r="A156" s="0" t="s">
        <v>904</v>
      </c>
      <c r="B156" s="0" t="s">
        <v>34</v>
      </c>
      <c r="C156" s="0" t="s">
        <v>195</v>
      </c>
      <c r="D156" s="0" t="n">
        <v>39</v>
      </c>
      <c r="E156" s="0" t="s">
        <v>36</v>
      </c>
      <c r="F156" s="0" t="s">
        <v>160</v>
      </c>
      <c r="G156" s="0" t="s">
        <v>905</v>
      </c>
      <c r="H156" s="0" t="s">
        <v>190</v>
      </c>
      <c r="I156" s="0" t="s">
        <v>906</v>
      </c>
      <c r="J156" s="4" t="n">
        <v>45826</v>
      </c>
      <c r="K156" s="0" t="s">
        <v>907</v>
      </c>
      <c r="L156" s="0" t="s">
        <v>391</v>
      </c>
      <c r="M156" s="5" t="n">
        <v>3499</v>
      </c>
      <c r="N156" s="0" t="n">
        <v>4</v>
      </c>
      <c r="O156" s="0" t="s">
        <v>54</v>
      </c>
      <c r="P156" s="0" t="n">
        <v>5</v>
      </c>
      <c r="Q156" s="5" t="n">
        <v>0</v>
      </c>
      <c r="R156" s="4" t="n">
        <v>45831</v>
      </c>
      <c r="S156" s="0" t="s">
        <v>908</v>
      </c>
      <c r="T156" s="0" t="n">
        <f aca="false">R156-J156</f>
        <v>5</v>
      </c>
      <c r="U156" s="5" t="n">
        <f aca="false">M156*N156</f>
        <v>13996</v>
      </c>
      <c r="V156" s="6" t="n">
        <f aca="false">IF(O156="FLAT5",5%,IF(O156="FLAT10",10%,IF(O156="FLAT15",15%,IF(O156="FLAT20",20%,0))))</f>
        <v>0</v>
      </c>
      <c r="W156" s="5" t="n">
        <f aca="false">U156*(1-V156)</f>
        <v>13996</v>
      </c>
      <c r="X156" s="5" t="n">
        <f aca="false">W156+IF(O156="DEL0",0,Q156)</f>
        <v>13996</v>
      </c>
      <c r="Y156" s="0" t="str">
        <f aca="false">B156&amp;" "&amp;C156</f>
        <v>Diya Singh</v>
      </c>
      <c r="Z156" s="0" t="str">
        <f aca="false">IF(T156&lt;P156,"BeforeTime",IF(T156=P156,"Intime","Late"))</f>
        <v>Intime</v>
      </c>
      <c r="AA156" s="0" t="str">
        <f aca="false">TEXT(J156,"mmm")</f>
        <v>Jun</v>
      </c>
      <c r="AB156" s="0" t="e">
        <f aca="false">xlookup(L156,Products!A:A,Products!B:B,"")</f>
        <v>#NAME?</v>
      </c>
    </row>
    <row r="157" customFormat="false" ht="15" hidden="false" customHeight="false" outlineLevel="0" collapsed="false">
      <c r="A157" s="0" t="s">
        <v>74</v>
      </c>
      <c r="B157" s="0" t="s">
        <v>188</v>
      </c>
      <c r="C157" s="0" t="s">
        <v>167</v>
      </c>
      <c r="D157" s="0" t="n">
        <v>40</v>
      </c>
      <c r="E157" s="0" t="s">
        <v>36</v>
      </c>
      <c r="F157" s="0" t="s">
        <v>160</v>
      </c>
      <c r="G157" s="0" t="s">
        <v>909</v>
      </c>
      <c r="H157" s="0" t="s">
        <v>910</v>
      </c>
      <c r="I157" s="0" t="s">
        <v>911</v>
      </c>
      <c r="J157" s="4" t="n">
        <v>45982</v>
      </c>
      <c r="K157" s="0" t="s">
        <v>912</v>
      </c>
      <c r="L157" s="0" t="s">
        <v>391</v>
      </c>
      <c r="M157" s="5" t="n">
        <v>3499</v>
      </c>
      <c r="N157" s="0" t="n">
        <v>3</v>
      </c>
      <c r="O157" s="0" t="s">
        <v>54</v>
      </c>
      <c r="P157" s="0" t="n">
        <v>5</v>
      </c>
      <c r="Q157" s="5" t="n">
        <v>0</v>
      </c>
      <c r="R157" s="4" t="n">
        <v>45989</v>
      </c>
      <c r="S157" s="0" t="s">
        <v>913</v>
      </c>
      <c r="T157" s="0" t="n">
        <f aca="false">R157-J157</f>
        <v>7</v>
      </c>
      <c r="U157" s="5" t="n">
        <f aca="false">M157*N157</f>
        <v>10497</v>
      </c>
      <c r="V157" s="6" t="n">
        <f aca="false">IF(O157="FLAT5",5%,IF(O157="FLAT10",10%,IF(O157="FLAT15",15%,IF(O157="FLAT20",20%,0))))</f>
        <v>0</v>
      </c>
      <c r="W157" s="5" t="n">
        <f aca="false">U157*(1-V157)</f>
        <v>10497</v>
      </c>
      <c r="X157" s="5" t="n">
        <f aca="false">W157+IF(O157="DEL0",0,Q157)</f>
        <v>10497</v>
      </c>
      <c r="Y157" s="0" t="str">
        <f aca="false">B157&amp;" "&amp;C157</f>
        <v>Rohan Chowdhury</v>
      </c>
      <c r="Z157" s="0" t="str">
        <f aca="false">IF(T157&lt;P157,"BeforeTime",IF(T157=P157,"Intime","Late"))</f>
        <v>Late</v>
      </c>
      <c r="AA157" s="0" t="str">
        <f aca="false">TEXT(J157,"mmm")</f>
        <v>Nov</v>
      </c>
      <c r="AB157" s="0" t="e">
        <f aca="false">xlookup(L157,Products!A:A,Products!B:B,"")</f>
        <v>#NAME?</v>
      </c>
    </row>
    <row r="158" customFormat="false" ht="15" hidden="false" customHeight="false" outlineLevel="0" collapsed="false">
      <c r="A158" s="0" t="s">
        <v>914</v>
      </c>
      <c r="B158" s="0" t="s">
        <v>34</v>
      </c>
      <c r="C158" s="0" t="s">
        <v>47</v>
      </c>
      <c r="D158" s="0" t="n">
        <v>57</v>
      </c>
      <c r="E158" s="0" t="s">
        <v>36</v>
      </c>
      <c r="F158" s="0" t="s">
        <v>77</v>
      </c>
      <c r="G158" s="0" t="s">
        <v>915</v>
      </c>
      <c r="H158" s="0" t="s">
        <v>916</v>
      </c>
      <c r="I158" s="0" t="s">
        <v>917</v>
      </c>
      <c r="J158" s="4" t="n">
        <v>45765</v>
      </c>
      <c r="K158" s="0" t="s">
        <v>354</v>
      </c>
      <c r="L158" s="0" t="s">
        <v>110</v>
      </c>
      <c r="M158" s="5" t="n">
        <v>1499</v>
      </c>
      <c r="N158" s="0" t="n">
        <v>4</v>
      </c>
      <c r="O158" s="0" t="s">
        <v>259</v>
      </c>
      <c r="P158" s="0" t="n">
        <v>5</v>
      </c>
      <c r="Q158" s="5" t="n">
        <v>75</v>
      </c>
      <c r="R158" s="4" t="n">
        <v>45771</v>
      </c>
      <c r="S158" s="0" t="s">
        <v>918</v>
      </c>
      <c r="T158" s="0" t="n">
        <f aca="false">R158-J158</f>
        <v>6</v>
      </c>
      <c r="U158" s="5" t="n">
        <f aca="false">M158*N158</f>
        <v>5996</v>
      </c>
      <c r="V158" s="6" t="n">
        <f aca="false">IF(O158="FLAT5",5%,IF(O158="FLAT10",10%,IF(O158="FLAT15",15%,IF(O158="FLAT20",20%,0))))</f>
        <v>0</v>
      </c>
      <c r="W158" s="5" t="n">
        <f aca="false">U158*(1-V158)</f>
        <v>5996</v>
      </c>
      <c r="X158" s="5" t="n">
        <f aca="false">W158+IF(O158="DEL0",0,Q158)</f>
        <v>6071</v>
      </c>
      <c r="Y158" s="0" t="str">
        <f aca="false">B158&amp;" "&amp;C158</f>
        <v>Diya Verma</v>
      </c>
      <c r="Z158" s="0" t="str">
        <f aca="false">IF(T158&lt;P158,"BeforeTime",IF(T158=P158,"Intime","Late"))</f>
        <v>Late</v>
      </c>
      <c r="AA158" s="0" t="str">
        <f aca="false">TEXT(J158,"mmm")</f>
        <v>Apr</v>
      </c>
      <c r="AB158" s="0" t="e">
        <f aca="false">xlookup(L158,Products!A:A,Products!B:B,"")</f>
        <v>#NAME?</v>
      </c>
    </row>
    <row r="159" customFormat="false" ht="15" hidden="false" customHeight="false" outlineLevel="0" collapsed="false">
      <c r="A159" s="0" t="s">
        <v>919</v>
      </c>
      <c r="B159" s="0" t="s">
        <v>209</v>
      </c>
      <c r="C159" s="0" t="s">
        <v>95</v>
      </c>
      <c r="D159" s="0" t="n">
        <v>44</v>
      </c>
      <c r="E159" s="0" t="s">
        <v>36</v>
      </c>
      <c r="F159" s="0" t="s">
        <v>248</v>
      </c>
      <c r="G159" s="0" t="s">
        <v>920</v>
      </c>
      <c r="H159" s="0" t="s">
        <v>499</v>
      </c>
      <c r="I159" s="0" t="s">
        <v>921</v>
      </c>
      <c r="J159" s="4" t="n">
        <v>45931</v>
      </c>
      <c r="K159" s="0" t="s">
        <v>922</v>
      </c>
      <c r="L159" s="0" t="s">
        <v>64</v>
      </c>
      <c r="M159" s="5" t="n">
        <v>2799</v>
      </c>
      <c r="N159" s="0" t="n">
        <v>4</v>
      </c>
      <c r="O159" s="0" t="s">
        <v>43</v>
      </c>
      <c r="P159" s="0" t="n">
        <v>6</v>
      </c>
      <c r="Q159" s="5" t="n">
        <v>90</v>
      </c>
      <c r="R159" s="4" t="n">
        <v>45941</v>
      </c>
      <c r="S159" s="0" t="s">
        <v>923</v>
      </c>
      <c r="T159" s="0" t="n">
        <f aca="false">R159-J159</f>
        <v>10</v>
      </c>
      <c r="U159" s="5" t="n">
        <f aca="false">M159*N159</f>
        <v>11196</v>
      </c>
      <c r="V159" s="6" t="n">
        <f aca="false">IF(O159="FLAT5",5%,IF(O159="FLAT10",10%,IF(O159="FLAT15",15%,IF(O159="FLAT20",20%,0))))</f>
        <v>0.2</v>
      </c>
      <c r="W159" s="5" t="n">
        <f aca="false">U159*(1-V159)</f>
        <v>8956.8</v>
      </c>
      <c r="X159" s="5" t="n">
        <f aca="false">W159+IF(O159="DEL0",0,Q159)</f>
        <v>9046.8</v>
      </c>
      <c r="Y159" s="0" t="str">
        <f aca="false">B159&amp;" "&amp;C159</f>
        <v>Ishaan Mishra</v>
      </c>
      <c r="Z159" s="0" t="str">
        <f aca="false">IF(T159&lt;P159,"BeforeTime",IF(T159=P159,"Intime","Late"))</f>
        <v>Late</v>
      </c>
      <c r="AA159" s="0" t="str">
        <f aca="false">TEXT(J159,"mmm")</f>
        <v>Oct</v>
      </c>
      <c r="AB159" s="0" t="e">
        <f aca="false">xlookup(L159,Products!A:A,Products!B:B,"")</f>
        <v>#NAME?</v>
      </c>
    </row>
    <row r="160" customFormat="false" ht="15" hidden="false" customHeight="false" outlineLevel="0" collapsed="false">
      <c r="A160" s="0" t="s">
        <v>471</v>
      </c>
      <c r="B160" s="0" t="s">
        <v>405</v>
      </c>
      <c r="C160" s="0" t="s">
        <v>417</v>
      </c>
      <c r="D160" s="0" t="n">
        <v>30</v>
      </c>
      <c r="E160" s="0" t="s">
        <v>36</v>
      </c>
      <c r="F160" s="0" t="s">
        <v>124</v>
      </c>
      <c r="G160" s="0" t="s">
        <v>924</v>
      </c>
      <c r="H160" s="0" t="s">
        <v>925</v>
      </c>
      <c r="I160" s="0" t="s">
        <v>926</v>
      </c>
      <c r="J160" s="4" t="n">
        <v>45827</v>
      </c>
      <c r="K160" s="0" t="s">
        <v>927</v>
      </c>
      <c r="L160" s="0" t="s">
        <v>119</v>
      </c>
      <c r="M160" s="5" t="n">
        <v>899</v>
      </c>
      <c r="N160" s="0" t="n">
        <v>4</v>
      </c>
      <c r="O160" s="0" t="s">
        <v>259</v>
      </c>
      <c r="P160" s="0" t="n">
        <v>5</v>
      </c>
      <c r="Q160" s="5" t="n">
        <v>60</v>
      </c>
      <c r="R160" s="4" t="n">
        <v>45828</v>
      </c>
      <c r="S160" s="0" t="s">
        <v>928</v>
      </c>
      <c r="T160" s="0" t="n">
        <f aca="false">R160-J160</f>
        <v>1</v>
      </c>
      <c r="U160" s="5" t="n">
        <f aca="false">M160*N160</f>
        <v>3596</v>
      </c>
      <c r="V160" s="6" t="n">
        <f aca="false">IF(O160="FLAT5",5%,IF(O160="FLAT10",10%,IF(O160="FLAT15",15%,IF(O160="FLAT20",20%,0))))</f>
        <v>0</v>
      </c>
      <c r="W160" s="5" t="n">
        <f aca="false">U160*(1-V160)</f>
        <v>3596</v>
      </c>
      <c r="X160" s="5" t="n">
        <f aca="false">W160+IF(O160="DEL0",0,Q160)</f>
        <v>3656</v>
      </c>
      <c r="Y160" s="0" t="str">
        <f aca="false">B160&amp;" "&amp;C160</f>
        <v>Sneha Mehta</v>
      </c>
      <c r="Z160" s="0" t="str">
        <f aca="false">IF(T160&lt;P160,"BeforeTime",IF(T160=P160,"Intime","Late"))</f>
        <v>BeforeTime</v>
      </c>
      <c r="AA160" s="0" t="str">
        <f aca="false">TEXT(J160,"mmm")</f>
        <v>Jun</v>
      </c>
      <c r="AB160" s="0" t="e">
        <f aca="false">xlookup(L160,Products!A:A,Products!B:B,"")</f>
        <v>#NAME?</v>
      </c>
    </row>
    <row r="161" customFormat="false" ht="15" hidden="false" customHeight="false" outlineLevel="0" collapsed="false">
      <c r="A161" s="0" t="s">
        <v>929</v>
      </c>
      <c r="B161" s="0" t="s">
        <v>405</v>
      </c>
      <c r="C161" s="0" t="s">
        <v>105</v>
      </c>
      <c r="D161" s="0" t="n">
        <v>43</v>
      </c>
      <c r="E161" s="0" t="s">
        <v>48</v>
      </c>
      <c r="F161" s="0" t="s">
        <v>248</v>
      </c>
      <c r="G161" s="0" t="s">
        <v>930</v>
      </c>
      <c r="H161" s="0" t="s">
        <v>931</v>
      </c>
      <c r="I161" s="0" t="s">
        <v>932</v>
      </c>
      <c r="J161" s="4" t="n">
        <v>45670</v>
      </c>
      <c r="K161" s="0" t="s">
        <v>336</v>
      </c>
      <c r="L161" s="0" t="s">
        <v>119</v>
      </c>
      <c r="M161" s="5" t="n">
        <v>899</v>
      </c>
      <c r="N161" s="0" t="n">
        <v>2</v>
      </c>
      <c r="O161" s="0" t="s">
        <v>91</v>
      </c>
      <c r="P161" s="0" t="n">
        <v>5</v>
      </c>
      <c r="Q161" s="5" t="n">
        <v>40</v>
      </c>
      <c r="R161" s="4" t="n">
        <v>45674</v>
      </c>
      <c r="S161" s="0" t="s">
        <v>933</v>
      </c>
      <c r="T161" s="0" t="n">
        <f aca="false">R161-J161</f>
        <v>4</v>
      </c>
      <c r="U161" s="5" t="n">
        <f aca="false">M161*N161</f>
        <v>1798</v>
      </c>
      <c r="V161" s="6" t="n">
        <f aca="false">IF(O161="FLAT5",5%,IF(O161="FLAT10",10%,IF(O161="FLAT15",15%,IF(O161="FLAT20",20%,0))))</f>
        <v>0.1</v>
      </c>
      <c r="W161" s="5" t="n">
        <f aca="false">U161*(1-V161)</f>
        <v>1618.2</v>
      </c>
      <c r="X161" s="5" t="n">
        <f aca="false">W161+IF(O161="DEL0",0,Q161)</f>
        <v>1658.2</v>
      </c>
      <c r="Y161" s="0" t="str">
        <f aca="false">B161&amp;" "&amp;C161</f>
        <v>Sneha Bhat</v>
      </c>
      <c r="Z161" s="0" t="str">
        <f aca="false">IF(T161&lt;P161,"BeforeTime",IF(T161=P161,"Intime","Late"))</f>
        <v>BeforeTime</v>
      </c>
      <c r="AA161" s="0" t="str">
        <f aca="false">TEXT(J161,"mmm")</f>
        <v>Jan</v>
      </c>
      <c r="AB161" s="0" t="e">
        <f aca="false">xlookup(L161,Products!A:A,Products!B:B,"")</f>
        <v>#NAME?</v>
      </c>
    </row>
    <row r="162" customFormat="false" ht="15" hidden="false" customHeight="false" outlineLevel="0" collapsed="false">
      <c r="A162" s="0" t="s">
        <v>235</v>
      </c>
      <c r="B162" s="0" t="s">
        <v>188</v>
      </c>
      <c r="C162" s="0" t="s">
        <v>167</v>
      </c>
      <c r="D162" s="0" t="n">
        <v>42</v>
      </c>
      <c r="E162" s="0" t="s">
        <v>48</v>
      </c>
      <c r="F162" s="0" t="s">
        <v>140</v>
      </c>
      <c r="G162" s="0" t="s">
        <v>934</v>
      </c>
      <c r="H162" s="0" t="s">
        <v>935</v>
      </c>
      <c r="I162" s="0" t="s">
        <v>936</v>
      </c>
      <c r="J162" s="4" t="n">
        <v>45811</v>
      </c>
      <c r="K162" s="0" t="s">
        <v>937</v>
      </c>
      <c r="L162" s="0" t="s">
        <v>53</v>
      </c>
      <c r="M162" s="5" t="n">
        <v>2499</v>
      </c>
      <c r="N162" s="0" t="n">
        <v>4</v>
      </c>
      <c r="O162" s="0" t="s">
        <v>91</v>
      </c>
      <c r="P162" s="0" t="n">
        <v>2</v>
      </c>
      <c r="Q162" s="5" t="n">
        <v>40</v>
      </c>
      <c r="R162" s="4" t="n">
        <v>45814</v>
      </c>
      <c r="S162" s="0" t="s">
        <v>938</v>
      </c>
      <c r="T162" s="0" t="n">
        <f aca="false">R162-J162</f>
        <v>3</v>
      </c>
      <c r="U162" s="5" t="n">
        <f aca="false">M162*N162</f>
        <v>9996</v>
      </c>
      <c r="V162" s="6" t="n">
        <f aca="false">IF(O162="FLAT5",5%,IF(O162="FLAT10",10%,IF(O162="FLAT15",15%,IF(O162="FLAT20",20%,0))))</f>
        <v>0.1</v>
      </c>
      <c r="W162" s="5" t="n">
        <f aca="false">U162*(1-V162)</f>
        <v>8996.4</v>
      </c>
      <c r="X162" s="5" t="n">
        <f aca="false">W162+IF(O162="DEL0",0,Q162)</f>
        <v>9036.4</v>
      </c>
      <c r="Y162" s="0" t="str">
        <f aca="false">B162&amp;" "&amp;C162</f>
        <v>Rohan Chowdhury</v>
      </c>
      <c r="Z162" s="0" t="str">
        <f aca="false">IF(T162&lt;P162,"BeforeTime",IF(T162=P162,"Intime","Late"))</f>
        <v>Late</v>
      </c>
      <c r="AA162" s="0" t="str">
        <f aca="false">TEXT(J162,"mmm")</f>
        <v>Jun</v>
      </c>
      <c r="AB162" s="0" t="e">
        <f aca="false">xlookup(L162,Products!A:A,Products!B:B,"")</f>
        <v>#NAME?</v>
      </c>
    </row>
    <row r="163" customFormat="false" ht="15" hidden="false" customHeight="false" outlineLevel="0" collapsed="false">
      <c r="A163" s="0" t="s">
        <v>343</v>
      </c>
      <c r="B163" s="0" t="s">
        <v>405</v>
      </c>
      <c r="C163" s="0" t="s">
        <v>113</v>
      </c>
      <c r="D163" s="0" t="n">
        <v>55</v>
      </c>
      <c r="E163" s="0" t="s">
        <v>36</v>
      </c>
      <c r="F163" s="0" t="s">
        <v>59</v>
      </c>
      <c r="G163" s="0" t="s">
        <v>939</v>
      </c>
      <c r="H163" s="0" t="s">
        <v>388</v>
      </c>
      <c r="I163" s="0" t="s">
        <v>940</v>
      </c>
      <c r="J163" s="4" t="n">
        <v>45776</v>
      </c>
      <c r="K163" s="0" t="s">
        <v>941</v>
      </c>
      <c r="L163" s="0" t="s">
        <v>240</v>
      </c>
      <c r="M163" s="5" t="n">
        <v>4999</v>
      </c>
      <c r="N163" s="0" t="n">
        <v>4</v>
      </c>
      <c r="O163" s="0" t="s">
        <v>259</v>
      </c>
      <c r="P163" s="0" t="n">
        <v>5</v>
      </c>
      <c r="Q163" s="5" t="n">
        <v>50</v>
      </c>
      <c r="R163" s="4" t="n">
        <v>45781</v>
      </c>
      <c r="S163" s="0" t="s">
        <v>942</v>
      </c>
      <c r="T163" s="0" t="n">
        <f aca="false">R163-J163</f>
        <v>5</v>
      </c>
      <c r="U163" s="5" t="n">
        <f aca="false">M163*N163</f>
        <v>19996</v>
      </c>
      <c r="V163" s="6" t="n">
        <f aca="false">IF(O163="FLAT5",5%,IF(O163="FLAT10",10%,IF(O163="FLAT15",15%,IF(O163="FLAT20",20%,0))))</f>
        <v>0</v>
      </c>
      <c r="W163" s="5" t="n">
        <f aca="false">U163*(1-V163)</f>
        <v>19996</v>
      </c>
      <c r="X163" s="5" t="n">
        <f aca="false">W163+IF(O163="DEL0",0,Q163)</f>
        <v>20046</v>
      </c>
      <c r="Y163" s="0" t="str">
        <f aca="false">B163&amp;" "&amp;C163</f>
        <v>Sneha Rao</v>
      </c>
      <c r="Z163" s="0" t="str">
        <f aca="false">IF(T163&lt;P163,"BeforeTime",IF(T163=P163,"Intime","Late"))</f>
        <v>Intime</v>
      </c>
      <c r="AA163" s="0" t="str">
        <f aca="false">TEXT(J163,"mmm")</f>
        <v>Apr</v>
      </c>
      <c r="AB163" s="0" t="e">
        <f aca="false">xlookup(L163,Products!A:A,Products!B:B,"")</f>
        <v>#NAME?</v>
      </c>
    </row>
    <row r="164" customFormat="false" ht="15" hidden="false" customHeight="false" outlineLevel="0" collapsed="false">
      <c r="A164" s="0" t="s">
        <v>943</v>
      </c>
      <c r="B164" s="0" t="s">
        <v>188</v>
      </c>
      <c r="C164" s="0" t="s">
        <v>105</v>
      </c>
      <c r="D164" s="0" t="n">
        <v>57</v>
      </c>
      <c r="E164" s="0" t="s">
        <v>48</v>
      </c>
      <c r="F164" s="0" t="s">
        <v>160</v>
      </c>
      <c r="G164" s="0" t="s">
        <v>944</v>
      </c>
      <c r="H164" s="0" t="s">
        <v>945</v>
      </c>
      <c r="I164" s="0" t="s">
        <v>946</v>
      </c>
      <c r="J164" s="4" t="n">
        <v>46018</v>
      </c>
      <c r="K164" s="0" t="s">
        <v>947</v>
      </c>
      <c r="L164" s="0" t="s">
        <v>110</v>
      </c>
      <c r="M164" s="5" t="n">
        <v>1499</v>
      </c>
      <c r="N164" s="0" t="n">
        <v>2</v>
      </c>
      <c r="O164" s="0" t="s">
        <v>91</v>
      </c>
      <c r="P164" s="0" t="n">
        <v>2</v>
      </c>
      <c r="Q164" s="5" t="n">
        <v>90</v>
      </c>
      <c r="R164" s="4" t="n">
        <v>46020</v>
      </c>
      <c r="S164" s="0" t="s">
        <v>128</v>
      </c>
      <c r="T164" s="0" t="n">
        <f aca="false">R164-J164</f>
        <v>2</v>
      </c>
      <c r="U164" s="5" t="n">
        <f aca="false">M164*N164</f>
        <v>2998</v>
      </c>
      <c r="V164" s="6" t="n">
        <f aca="false">IF(O164="FLAT5",5%,IF(O164="FLAT10",10%,IF(O164="FLAT15",15%,IF(O164="FLAT20",20%,0))))</f>
        <v>0.1</v>
      </c>
      <c r="W164" s="5" t="n">
        <f aca="false">U164*(1-V164)</f>
        <v>2698.2</v>
      </c>
      <c r="X164" s="5" t="n">
        <f aca="false">W164+IF(O164="DEL0",0,Q164)</f>
        <v>2788.2</v>
      </c>
      <c r="Y164" s="0" t="str">
        <f aca="false">B164&amp;" "&amp;C164</f>
        <v>Rohan Bhat</v>
      </c>
      <c r="Z164" s="0" t="str">
        <f aca="false">IF(T164&lt;P164,"BeforeTime",IF(T164=P164,"Intime","Late"))</f>
        <v>Intime</v>
      </c>
      <c r="AA164" s="0" t="str">
        <f aca="false">TEXT(J164,"mmm")</f>
        <v>Dec</v>
      </c>
      <c r="AB164" s="0" t="e">
        <f aca="false">xlookup(L164,Products!A:A,Products!B:B,"")</f>
        <v>#NAME?</v>
      </c>
    </row>
    <row r="165" customFormat="false" ht="15" hidden="false" customHeight="false" outlineLevel="0" collapsed="false">
      <c r="A165" s="0" t="s">
        <v>564</v>
      </c>
      <c r="B165" s="0" t="s">
        <v>147</v>
      </c>
      <c r="C165" s="0" t="s">
        <v>229</v>
      </c>
      <c r="D165" s="0" t="n">
        <v>58</v>
      </c>
      <c r="E165" s="0" t="s">
        <v>48</v>
      </c>
      <c r="F165" s="0" t="s">
        <v>124</v>
      </c>
      <c r="G165" s="0" t="s">
        <v>948</v>
      </c>
      <c r="H165" s="0" t="s">
        <v>949</v>
      </c>
      <c r="I165" s="0" t="s">
        <v>950</v>
      </c>
      <c r="J165" s="4" t="n">
        <v>45892</v>
      </c>
      <c r="K165" s="0" t="s">
        <v>951</v>
      </c>
      <c r="L165" s="0" t="s">
        <v>136</v>
      </c>
      <c r="M165" s="5" t="n">
        <v>1799</v>
      </c>
      <c r="N165" s="0" t="n">
        <v>1</v>
      </c>
      <c r="O165" s="0" t="s">
        <v>91</v>
      </c>
      <c r="P165" s="0" t="n">
        <v>6</v>
      </c>
      <c r="Q165" s="5" t="n">
        <v>90</v>
      </c>
      <c r="R165" s="4" t="n">
        <v>45895</v>
      </c>
      <c r="S165" s="0" t="s">
        <v>952</v>
      </c>
      <c r="T165" s="0" t="n">
        <f aca="false">R165-J165</f>
        <v>3</v>
      </c>
      <c r="U165" s="5" t="n">
        <f aca="false">M165*N165</f>
        <v>1799</v>
      </c>
      <c r="V165" s="6" t="n">
        <f aca="false">IF(O165="FLAT5",5%,IF(O165="FLAT10",10%,IF(O165="FLAT15",15%,IF(O165="FLAT20",20%,0))))</f>
        <v>0.1</v>
      </c>
      <c r="W165" s="5" t="n">
        <f aca="false">U165*(1-V165)</f>
        <v>1619.1</v>
      </c>
      <c r="X165" s="5" t="n">
        <f aca="false">W165+IF(O165="DEL0",0,Q165)</f>
        <v>1709.1</v>
      </c>
      <c r="Y165" s="0" t="str">
        <f aca="false">B165&amp;" "&amp;C165</f>
        <v>Pooja Joshi</v>
      </c>
      <c r="Z165" s="0" t="str">
        <f aca="false">IF(T165&lt;P165,"BeforeTime",IF(T165=P165,"Intime","Late"))</f>
        <v>BeforeTime</v>
      </c>
      <c r="AA165" s="0" t="str">
        <f aca="false">TEXT(J165,"mmm")</f>
        <v>Aug</v>
      </c>
      <c r="AB165" s="0" t="e">
        <f aca="false">xlookup(L165,Products!A:A,Products!B:B,"")</f>
        <v>#NAME?</v>
      </c>
    </row>
    <row r="166" customFormat="false" ht="15" hidden="false" customHeight="false" outlineLevel="0" collapsed="false">
      <c r="A166" s="0" t="s">
        <v>66</v>
      </c>
      <c r="B166" s="0" t="s">
        <v>34</v>
      </c>
      <c r="C166" s="0" t="s">
        <v>113</v>
      </c>
      <c r="D166" s="0" t="n">
        <v>43</v>
      </c>
      <c r="E166" s="0" t="s">
        <v>36</v>
      </c>
      <c r="F166" s="0" t="s">
        <v>77</v>
      </c>
      <c r="G166" s="0" t="s">
        <v>953</v>
      </c>
      <c r="H166" s="0" t="s">
        <v>954</v>
      </c>
      <c r="I166" s="0" t="s">
        <v>955</v>
      </c>
      <c r="J166" s="4" t="n">
        <v>45952</v>
      </c>
      <c r="K166" s="0" t="s">
        <v>956</v>
      </c>
      <c r="L166" s="0" t="s">
        <v>136</v>
      </c>
      <c r="M166" s="5" t="n">
        <v>1799</v>
      </c>
      <c r="N166" s="0" t="n">
        <v>4</v>
      </c>
      <c r="O166" s="0" t="s">
        <v>43</v>
      </c>
      <c r="P166" s="0" t="n">
        <v>5</v>
      </c>
      <c r="Q166" s="5" t="n">
        <v>75</v>
      </c>
      <c r="R166" s="4" t="n">
        <v>45957</v>
      </c>
      <c r="S166" s="0" t="s">
        <v>957</v>
      </c>
      <c r="T166" s="0" t="n">
        <f aca="false">R166-J166</f>
        <v>5</v>
      </c>
      <c r="U166" s="5" t="n">
        <f aca="false">M166*N166</f>
        <v>7196</v>
      </c>
      <c r="V166" s="6" t="n">
        <f aca="false">IF(O166="FLAT5",5%,IF(O166="FLAT10",10%,IF(O166="FLAT15",15%,IF(O166="FLAT20",20%,0))))</f>
        <v>0.2</v>
      </c>
      <c r="W166" s="5" t="n">
        <f aca="false">U166*(1-V166)</f>
        <v>5756.8</v>
      </c>
      <c r="X166" s="5" t="n">
        <f aca="false">W166+IF(O166="DEL0",0,Q166)</f>
        <v>5831.8</v>
      </c>
      <c r="Y166" s="0" t="str">
        <f aca="false">B166&amp;" "&amp;C166</f>
        <v>Diya Rao</v>
      </c>
      <c r="Z166" s="0" t="str">
        <f aca="false">IF(T166&lt;P166,"BeforeTime",IF(T166=P166,"Intime","Late"))</f>
        <v>Intime</v>
      </c>
      <c r="AA166" s="0" t="str">
        <f aca="false">TEXT(J166,"mmm")</f>
        <v>Oct</v>
      </c>
      <c r="AB166" s="0" t="e">
        <f aca="false">xlookup(L166,Products!A:A,Products!B:B,"")</f>
        <v>#NAME?</v>
      </c>
    </row>
    <row r="167" customFormat="false" ht="15" hidden="false" customHeight="false" outlineLevel="0" collapsed="false">
      <c r="A167" s="0" t="s">
        <v>958</v>
      </c>
      <c r="B167" s="0" t="s">
        <v>209</v>
      </c>
      <c r="C167" s="0" t="s">
        <v>113</v>
      </c>
      <c r="D167" s="0" t="n">
        <v>40</v>
      </c>
      <c r="E167" s="0" t="s">
        <v>48</v>
      </c>
      <c r="F167" s="0" t="s">
        <v>124</v>
      </c>
      <c r="G167" s="0" t="s">
        <v>959</v>
      </c>
      <c r="H167" s="0" t="s">
        <v>519</v>
      </c>
      <c r="I167" s="0" t="s">
        <v>960</v>
      </c>
      <c r="J167" s="4" t="n">
        <v>45906</v>
      </c>
      <c r="K167" s="0" t="s">
        <v>961</v>
      </c>
      <c r="L167" s="0" t="s">
        <v>110</v>
      </c>
      <c r="M167" s="5" t="n">
        <v>1499</v>
      </c>
      <c r="N167" s="0" t="n">
        <v>3</v>
      </c>
      <c r="O167" s="0" t="s">
        <v>259</v>
      </c>
      <c r="P167" s="0" t="n">
        <v>3</v>
      </c>
      <c r="Q167" s="5" t="n">
        <v>75</v>
      </c>
      <c r="R167" s="4" t="n">
        <v>45909</v>
      </c>
      <c r="S167" s="0" t="s">
        <v>962</v>
      </c>
      <c r="T167" s="0" t="n">
        <f aca="false">R167-J167</f>
        <v>3</v>
      </c>
      <c r="U167" s="5" t="n">
        <f aca="false">M167*N167</f>
        <v>4497</v>
      </c>
      <c r="V167" s="6" t="n">
        <f aca="false">IF(O167="FLAT5",5%,IF(O167="FLAT10",10%,IF(O167="FLAT15",15%,IF(O167="FLAT20",20%,0))))</f>
        <v>0</v>
      </c>
      <c r="W167" s="5" t="n">
        <f aca="false">U167*(1-V167)</f>
        <v>4497</v>
      </c>
      <c r="X167" s="5" t="n">
        <f aca="false">W167+IF(O167="DEL0",0,Q167)</f>
        <v>4572</v>
      </c>
      <c r="Y167" s="0" t="str">
        <f aca="false">B167&amp;" "&amp;C167</f>
        <v>Ishaan Rao</v>
      </c>
      <c r="Z167" s="0" t="str">
        <f aca="false">IF(T167&lt;P167,"BeforeTime",IF(T167=P167,"Intime","Late"))</f>
        <v>Intime</v>
      </c>
      <c r="AA167" s="0" t="str">
        <f aca="false">TEXT(J167,"mmm")</f>
        <v>Sep</v>
      </c>
      <c r="AB167" s="0" t="e">
        <f aca="false">xlookup(L167,Products!A:A,Products!B:B,"")</f>
        <v>#NAME?</v>
      </c>
    </row>
    <row r="168" customFormat="false" ht="15" hidden="false" customHeight="false" outlineLevel="0" collapsed="false">
      <c r="A168" s="0" t="s">
        <v>963</v>
      </c>
      <c r="B168" s="0" t="s">
        <v>147</v>
      </c>
      <c r="C168" s="0" t="s">
        <v>95</v>
      </c>
      <c r="D168" s="0" t="n">
        <v>48</v>
      </c>
      <c r="E168" s="0" t="s">
        <v>48</v>
      </c>
      <c r="F168" s="0" t="s">
        <v>262</v>
      </c>
      <c r="G168" s="0" t="s">
        <v>964</v>
      </c>
      <c r="H168" s="0" t="s">
        <v>965</v>
      </c>
      <c r="I168" s="0" t="s">
        <v>966</v>
      </c>
      <c r="J168" s="4" t="n">
        <v>45770</v>
      </c>
      <c r="K168" s="0" t="s">
        <v>967</v>
      </c>
      <c r="L168" s="0" t="s">
        <v>129</v>
      </c>
      <c r="M168" s="5" t="n">
        <v>2999</v>
      </c>
      <c r="N168" s="0" t="n">
        <v>1</v>
      </c>
      <c r="O168" s="0" t="s">
        <v>54</v>
      </c>
      <c r="P168" s="0" t="n">
        <v>4</v>
      </c>
      <c r="Q168" s="5" t="n">
        <v>0</v>
      </c>
      <c r="R168" s="4" t="n">
        <v>45771</v>
      </c>
      <c r="S168" s="0" t="s">
        <v>968</v>
      </c>
      <c r="T168" s="0" t="n">
        <f aca="false">R168-J168</f>
        <v>1</v>
      </c>
      <c r="U168" s="5" t="n">
        <f aca="false">M168*N168</f>
        <v>2999</v>
      </c>
      <c r="V168" s="6" t="n">
        <f aca="false">IF(O168="FLAT5",5%,IF(O168="FLAT10",10%,IF(O168="FLAT15",15%,IF(O168="FLAT20",20%,0))))</f>
        <v>0</v>
      </c>
      <c r="W168" s="5" t="n">
        <f aca="false">U168*(1-V168)</f>
        <v>2999</v>
      </c>
      <c r="X168" s="5" t="n">
        <f aca="false">W168+IF(O168="DEL0",0,Q168)</f>
        <v>2999</v>
      </c>
      <c r="Y168" s="0" t="str">
        <f aca="false">B168&amp;" "&amp;C168</f>
        <v>Pooja Mishra</v>
      </c>
      <c r="Z168" s="0" t="str">
        <f aca="false">IF(T168&lt;P168,"BeforeTime",IF(T168=P168,"Intime","Late"))</f>
        <v>BeforeTime</v>
      </c>
      <c r="AA168" s="0" t="str">
        <f aca="false">TEXT(J168,"mmm")</f>
        <v>Apr</v>
      </c>
      <c r="AB168" s="0" t="e">
        <f aca="false">xlookup(L168,Products!A:A,Products!B:B,"")</f>
        <v>#NAME?</v>
      </c>
    </row>
    <row r="169" customFormat="false" ht="15" hidden="false" customHeight="false" outlineLevel="0" collapsed="false">
      <c r="A169" s="0" t="s">
        <v>969</v>
      </c>
      <c r="B169" s="0" t="s">
        <v>147</v>
      </c>
      <c r="C169" s="0" t="s">
        <v>261</v>
      </c>
      <c r="D169" s="0" t="n">
        <v>56</v>
      </c>
      <c r="E169" s="0" t="s">
        <v>36</v>
      </c>
      <c r="F169" s="0" t="s">
        <v>114</v>
      </c>
      <c r="G169" s="0" t="s">
        <v>970</v>
      </c>
      <c r="H169" s="0" t="s">
        <v>971</v>
      </c>
      <c r="I169" s="0" t="s">
        <v>972</v>
      </c>
      <c r="J169" s="4" t="n">
        <v>45679</v>
      </c>
      <c r="K169" s="0" t="s">
        <v>973</v>
      </c>
      <c r="L169" s="0" t="s">
        <v>240</v>
      </c>
      <c r="M169" s="5" t="n">
        <v>4999</v>
      </c>
      <c r="N169" s="0" t="n">
        <v>3</v>
      </c>
      <c r="O169" s="0" t="s">
        <v>101</v>
      </c>
      <c r="P169" s="0" t="n">
        <v>7</v>
      </c>
      <c r="Q169" s="5" t="n">
        <v>50</v>
      </c>
      <c r="R169" s="4" t="n">
        <v>45686</v>
      </c>
      <c r="S169" s="0" t="s">
        <v>974</v>
      </c>
      <c r="T169" s="0" t="n">
        <f aca="false">R169-J169</f>
        <v>7</v>
      </c>
      <c r="U169" s="5" t="n">
        <f aca="false">M169*N169</f>
        <v>14997</v>
      </c>
      <c r="V169" s="6" t="n">
        <f aca="false">IF(O169="FLAT5",5%,IF(O169="FLAT10",10%,IF(O169="FLAT15",15%,IF(O169="FLAT20",20%,0))))</f>
        <v>0.15</v>
      </c>
      <c r="W169" s="5" t="n">
        <f aca="false">U169*(1-V169)</f>
        <v>12747.45</v>
      </c>
      <c r="X169" s="5" t="n">
        <f aca="false">W169+IF(O169="DEL0",0,Q169)</f>
        <v>12797.45</v>
      </c>
      <c r="Y169" s="0" t="str">
        <f aca="false">B169&amp;" "&amp;C169</f>
        <v>Pooja Kumar</v>
      </c>
      <c r="Z169" s="0" t="str">
        <f aca="false">IF(T169&lt;P169,"BeforeTime",IF(T169=P169,"Intime","Late"))</f>
        <v>Intime</v>
      </c>
      <c r="AA169" s="0" t="str">
        <f aca="false">TEXT(J169,"mmm")</f>
        <v>Jan</v>
      </c>
      <c r="AB169" s="0" t="e">
        <f aca="false">xlookup(L169,Products!A:A,Products!B:B,"")</f>
        <v>#NAME?</v>
      </c>
    </row>
    <row r="170" customFormat="false" ht="15" hidden="false" customHeight="false" outlineLevel="0" collapsed="false">
      <c r="A170" s="0" t="s">
        <v>975</v>
      </c>
      <c r="B170" s="0" t="s">
        <v>75</v>
      </c>
      <c r="C170" s="0" t="s">
        <v>417</v>
      </c>
      <c r="D170" s="0" t="n">
        <v>25</v>
      </c>
      <c r="E170" s="0" t="s">
        <v>48</v>
      </c>
      <c r="F170" s="0" t="s">
        <v>140</v>
      </c>
      <c r="G170" s="0" t="s">
        <v>976</v>
      </c>
      <c r="H170" s="0" t="s">
        <v>977</v>
      </c>
      <c r="I170" s="0" t="s">
        <v>978</v>
      </c>
      <c r="J170" s="4" t="n">
        <v>45959</v>
      </c>
      <c r="K170" s="0" t="s">
        <v>292</v>
      </c>
      <c r="L170" s="0" t="s">
        <v>100</v>
      </c>
      <c r="M170" s="5" t="n">
        <v>999</v>
      </c>
      <c r="N170" s="0" t="n">
        <v>2</v>
      </c>
      <c r="O170" s="0" t="s">
        <v>54</v>
      </c>
      <c r="P170" s="0" t="n">
        <v>7</v>
      </c>
      <c r="Q170" s="5" t="n">
        <v>0</v>
      </c>
      <c r="R170" s="4" t="n">
        <v>45966</v>
      </c>
      <c r="S170" s="0" t="s">
        <v>979</v>
      </c>
      <c r="T170" s="0" t="n">
        <f aca="false">R170-J170</f>
        <v>7</v>
      </c>
      <c r="U170" s="5" t="n">
        <f aca="false">M170*N170</f>
        <v>1998</v>
      </c>
      <c r="V170" s="6" t="n">
        <f aca="false">IF(O170="FLAT5",5%,IF(O170="FLAT10",10%,IF(O170="FLAT15",15%,IF(O170="FLAT20",20%,0))))</f>
        <v>0</v>
      </c>
      <c r="W170" s="5" t="n">
        <f aca="false">U170*(1-V170)</f>
        <v>1998</v>
      </c>
      <c r="X170" s="5" t="n">
        <f aca="false">W170+IF(O170="DEL0",0,Q170)</f>
        <v>1998</v>
      </c>
      <c r="Y170" s="0" t="str">
        <f aca="false">B170&amp;" "&amp;C170</f>
        <v>Vikram Mehta</v>
      </c>
      <c r="Z170" s="0" t="str">
        <f aca="false">IF(T170&lt;P170,"BeforeTime",IF(T170=P170,"Intime","Late"))</f>
        <v>Intime</v>
      </c>
      <c r="AA170" s="0" t="str">
        <f aca="false">TEXT(J170,"mmm")</f>
        <v>Oct</v>
      </c>
      <c r="AB170" s="0" t="e">
        <f aca="false">xlookup(L170,Products!A:A,Products!B:B,"")</f>
        <v>#NAME?</v>
      </c>
    </row>
    <row r="171" customFormat="false" ht="15" hidden="false" customHeight="false" outlineLevel="0" collapsed="false">
      <c r="A171" s="0" t="s">
        <v>980</v>
      </c>
      <c r="B171" s="0" t="s">
        <v>188</v>
      </c>
      <c r="C171" s="0" t="s">
        <v>47</v>
      </c>
      <c r="D171" s="0" t="n">
        <v>23</v>
      </c>
      <c r="E171" s="0" t="s">
        <v>48</v>
      </c>
      <c r="F171" s="0" t="s">
        <v>77</v>
      </c>
      <c r="G171" s="0" t="s">
        <v>981</v>
      </c>
      <c r="H171" s="0" t="s">
        <v>982</v>
      </c>
      <c r="I171" s="0" t="s">
        <v>983</v>
      </c>
      <c r="J171" s="4" t="n">
        <v>46018</v>
      </c>
      <c r="K171" s="0" t="s">
        <v>822</v>
      </c>
      <c r="L171" s="0" t="s">
        <v>72</v>
      </c>
      <c r="M171" s="5" t="n">
        <v>1299</v>
      </c>
      <c r="N171" s="0" t="n">
        <v>2</v>
      </c>
      <c r="O171" s="0" t="s">
        <v>91</v>
      </c>
      <c r="P171" s="0" t="n">
        <v>4</v>
      </c>
      <c r="Q171" s="5" t="n">
        <v>60</v>
      </c>
      <c r="R171" s="4" t="n">
        <v>46022</v>
      </c>
      <c r="S171" s="0" t="s">
        <v>574</v>
      </c>
      <c r="T171" s="0" t="n">
        <f aca="false">R171-J171</f>
        <v>4</v>
      </c>
      <c r="U171" s="5" t="n">
        <f aca="false">M171*N171</f>
        <v>2598</v>
      </c>
      <c r="V171" s="6" t="n">
        <f aca="false">IF(O171="FLAT5",5%,IF(O171="FLAT10",10%,IF(O171="FLAT15",15%,IF(O171="FLAT20",20%,0))))</f>
        <v>0.1</v>
      </c>
      <c r="W171" s="5" t="n">
        <f aca="false">U171*(1-V171)</f>
        <v>2338.2</v>
      </c>
      <c r="X171" s="5" t="n">
        <f aca="false">W171+IF(O171="DEL0",0,Q171)</f>
        <v>2398.2</v>
      </c>
      <c r="Y171" s="0" t="str">
        <f aca="false">B171&amp;" "&amp;C171</f>
        <v>Rohan Verma</v>
      </c>
      <c r="Z171" s="0" t="str">
        <f aca="false">IF(T171&lt;P171,"BeforeTime",IF(T171=P171,"Intime","Late"))</f>
        <v>Intime</v>
      </c>
      <c r="AA171" s="0" t="str">
        <f aca="false">TEXT(J171,"mmm")</f>
        <v>Dec</v>
      </c>
      <c r="AB171" s="0" t="e">
        <f aca="false">xlookup(L171,Products!A:A,Products!B:B,"")</f>
        <v>#NAME?</v>
      </c>
    </row>
    <row r="172" customFormat="false" ht="15" hidden="false" customHeight="false" outlineLevel="0" collapsed="false">
      <c r="A172" s="0" t="s">
        <v>254</v>
      </c>
      <c r="B172" s="0" t="s">
        <v>174</v>
      </c>
      <c r="C172" s="0" t="s">
        <v>181</v>
      </c>
      <c r="D172" s="0" t="n">
        <v>28</v>
      </c>
      <c r="E172" s="0" t="s">
        <v>36</v>
      </c>
      <c r="F172" s="0" t="s">
        <v>37</v>
      </c>
      <c r="G172" s="0" t="s">
        <v>984</v>
      </c>
      <c r="H172" s="0" t="s">
        <v>985</v>
      </c>
      <c r="I172" s="0" t="s">
        <v>986</v>
      </c>
      <c r="J172" s="4" t="n">
        <v>46004</v>
      </c>
      <c r="K172" s="0" t="s">
        <v>987</v>
      </c>
      <c r="L172" s="0" t="s">
        <v>42</v>
      </c>
      <c r="M172" s="5" t="n">
        <v>2199</v>
      </c>
      <c r="N172" s="0" t="n">
        <v>3</v>
      </c>
      <c r="O172" s="0" t="s">
        <v>54</v>
      </c>
      <c r="P172" s="0" t="n">
        <v>5</v>
      </c>
      <c r="Q172" s="5" t="n">
        <v>0</v>
      </c>
      <c r="R172" s="4" t="n">
        <v>46009</v>
      </c>
      <c r="S172" s="0" t="s">
        <v>988</v>
      </c>
      <c r="T172" s="0" t="n">
        <f aca="false">R172-J172</f>
        <v>5</v>
      </c>
      <c r="U172" s="5" t="n">
        <f aca="false">M172*N172</f>
        <v>6597</v>
      </c>
      <c r="V172" s="6" t="n">
        <f aca="false">IF(O172="FLAT5",5%,IF(O172="FLAT10",10%,IF(O172="FLAT15",15%,IF(O172="FLAT20",20%,0))))</f>
        <v>0</v>
      </c>
      <c r="W172" s="5" t="n">
        <f aca="false">U172*(1-V172)</f>
        <v>6597</v>
      </c>
      <c r="X172" s="5" t="n">
        <f aca="false">W172+IF(O172="DEL0",0,Q172)</f>
        <v>6597</v>
      </c>
      <c r="Y172" s="0" t="str">
        <f aca="false">B172&amp;" "&amp;C172</f>
        <v>Ananya Gupta</v>
      </c>
      <c r="Z172" s="0" t="str">
        <f aca="false">IF(T172&lt;P172,"BeforeTime",IF(T172=P172,"Intime","Late"))</f>
        <v>Intime</v>
      </c>
      <c r="AA172" s="0" t="str">
        <f aca="false">TEXT(J172,"mmm")</f>
        <v>Dec</v>
      </c>
      <c r="AB172" s="0" t="e">
        <f aca="false">xlookup(L172,Products!A:A,Products!B:B,"")</f>
        <v>#NAME?</v>
      </c>
    </row>
    <row r="173" customFormat="false" ht="15" hidden="false" customHeight="false" outlineLevel="0" collapsed="false">
      <c r="A173" s="0" t="s">
        <v>208</v>
      </c>
      <c r="B173" s="0" t="s">
        <v>57</v>
      </c>
      <c r="C173" s="0" t="s">
        <v>76</v>
      </c>
      <c r="D173" s="0" t="n">
        <v>45</v>
      </c>
      <c r="E173" s="0" t="s">
        <v>48</v>
      </c>
      <c r="F173" s="0" t="s">
        <v>59</v>
      </c>
      <c r="G173" s="0" t="s">
        <v>989</v>
      </c>
      <c r="H173" s="0" t="s">
        <v>990</v>
      </c>
      <c r="I173" s="0" t="s">
        <v>991</v>
      </c>
      <c r="J173" s="4" t="n">
        <v>45659</v>
      </c>
      <c r="K173" s="0" t="s">
        <v>992</v>
      </c>
      <c r="L173" s="0" t="s">
        <v>53</v>
      </c>
      <c r="M173" s="5" t="n">
        <v>2499</v>
      </c>
      <c r="N173" s="0" t="n">
        <v>4</v>
      </c>
      <c r="O173" s="0" t="s">
        <v>91</v>
      </c>
      <c r="P173" s="0" t="n">
        <v>7</v>
      </c>
      <c r="Q173" s="5" t="n">
        <v>120</v>
      </c>
      <c r="R173" s="4" t="n">
        <v>45663</v>
      </c>
      <c r="S173" s="0" t="s">
        <v>227</v>
      </c>
      <c r="T173" s="0" t="n">
        <f aca="false">R173-J173</f>
        <v>4</v>
      </c>
      <c r="U173" s="5" t="n">
        <f aca="false">M173*N173</f>
        <v>9996</v>
      </c>
      <c r="V173" s="6" t="n">
        <f aca="false">IF(O173="FLAT5",5%,IF(O173="FLAT10",10%,IF(O173="FLAT15",15%,IF(O173="FLAT20",20%,0))))</f>
        <v>0.1</v>
      </c>
      <c r="W173" s="5" t="n">
        <f aca="false">U173*(1-V173)</f>
        <v>8996.4</v>
      </c>
      <c r="X173" s="5" t="n">
        <f aca="false">W173+IF(O173="DEL0",0,Q173)</f>
        <v>9116.4</v>
      </c>
      <c r="Y173" s="0" t="str">
        <f aca="false">B173&amp;" "&amp;C173</f>
        <v>Arjun Patel</v>
      </c>
      <c r="Z173" s="0" t="str">
        <f aca="false">IF(T173&lt;P173,"BeforeTime",IF(T173=P173,"Intime","Late"))</f>
        <v>BeforeTime</v>
      </c>
      <c r="AA173" s="0" t="str">
        <f aca="false">TEXT(J173,"mmm")</f>
        <v>Jan</v>
      </c>
      <c r="AB173" s="0" t="e">
        <f aca="false">xlookup(L173,Products!A:A,Products!B:B,"")</f>
        <v>#NAME?</v>
      </c>
    </row>
    <row r="174" customFormat="false" ht="15" hidden="false" customHeight="false" outlineLevel="0" collapsed="false">
      <c r="A174" s="0" t="s">
        <v>993</v>
      </c>
      <c r="B174" s="0" t="s">
        <v>188</v>
      </c>
      <c r="C174" s="0" t="s">
        <v>95</v>
      </c>
      <c r="D174" s="0" t="n">
        <v>33</v>
      </c>
      <c r="E174" s="0" t="s">
        <v>48</v>
      </c>
      <c r="F174" s="0" t="s">
        <v>114</v>
      </c>
      <c r="G174" s="0" t="s">
        <v>994</v>
      </c>
      <c r="H174" s="0" t="s">
        <v>935</v>
      </c>
      <c r="I174" s="0" t="s">
        <v>995</v>
      </c>
      <c r="J174" s="4" t="n">
        <v>45953</v>
      </c>
      <c r="K174" s="0" t="s">
        <v>996</v>
      </c>
      <c r="L174" s="0" t="s">
        <v>391</v>
      </c>
      <c r="M174" s="5" t="n">
        <v>3499</v>
      </c>
      <c r="N174" s="0" t="n">
        <v>3</v>
      </c>
      <c r="O174" s="0" t="s">
        <v>91</v>
      </c>
      <c r="P174" s="0" t="n">
        <v>3</v>
      </c>
      <c r="Q174" s="5" t="n">
        <v>75</v>
      </c>
      <c r="R174" s="4" t="n">
        <v>45956</v>
      </c>
      <c r="S174" s="0" t="s">
        <v>997</v>
      </c>
      <c r="T174" s="0" t="n">
        <f aca="false">R174-J174</f>
        <v>3</v>
      </c>
      <c r="U174" s="5" t="n">
        <f aca="false">M174*N174</f>
        <v>10497</v>
      </c>
      <c r="V174" s="6" t="n">
        <f aca="false">IF(O174="FLAT5",5%,IF(O174="FLAT10",10%,IF(O174="FLAT15",15%,IF(O174="FLAT20",20%,0))))</f>
        <v>0.1</v>
      </c>
      <c r="W174" s="5" t="n">
        <f aca="false">U174*(1-V174)</f>
        <v>9447.3</v>
      </c>
      <c r="X174" s="5" t="n">
        <f aca="false">W174+IF(O174="DEL0",0,Q174)</f>
        <v>9522.3</v>
      </c>
      <c r="Y174" s="0" t="str">
        <f aca="false">B174&amp;" "&amp;C174</f>
        <v>Rohan Mishra</v>
      </c>
      <c r="Z174" s="0" t="str">
        <f aca="false">IF(T174&lt;P174,"BeforeTime",IF(T174=P174,"Intime","Late"))</f>
        <v>Intime</v>
      </c>
      <c r="AA174" s="0" t="str">
        <f aca="false">TEXT(J174,"mmm")</f>
        <v>Oct</v>
      </c>
      <c r="AB174" s="0" t="e">
        <f aca="false">xlookup(L174,Products!A:A,Products!B:B,"")</f>
        <v>#NAME?</v>
      </c>
    </row>
    <row r="175" customFormat="false" ht="15" hidden="false" customHeight="false" outlineLevel="0" collapsed="false">
      <c r="A175" s="0" t="s">
        <v>998</v>
      </c>
      <c r="B175" s="0" t="s">
        <v>394</v>
      </c>
      <c r="C175" s="0" t="s">
        <v>35</v>
      </c>
      <c r="D175" s="0" t="n">
        <v>27</v>
      </c>
      <c r="E175" s="0" t="s">
        <v>36</v>
      </c>
      <c r="F175" s="0" t="s">
        <v>248</v>
      </c>
      <c r="G175" s="0" t="s">
        <v>999</v>
      </c>
      <c r="H175" s="0" t="s">
        <v>1000</v>
      </c>
      <c r="I175" s="0" t="s">
        <v>1001</v>
      </c>
      <c r="J175" s="4" t="n">
        <v>45877</v>
      </c>
      <c r="K175" s="0" t="s">
        <v>1002</v>
      </c>
      <c r="L175" s="0" t="s">
        <v>53</v>
      </c>
      <c r="M175" s="5" t="n">
        <v>2499</v>
      </c>
      <c r="N175" s="0" t="n">
        <v>1</v>
      </c>
      <c r="O175" s="0" t="s">
        <v>259</v>
      </c>
      <c r="P175" s="0" t="n">
        <v>3</v>
      </c>
      <c r="Q175" s="5" t="n">
        <v>120</v>
      </c>
      <c r="R175" s="4" t="n">
        <v>45882</v>
      </c>
      <c r="S175" s="0" t="s">
        <v>1003</v>
      </c>
      <c r="T175" s="0" t="n">
        <f aca="false">R175-J175</f>
        <v>5</v>
      </c>
      <c r="U175" s="5" t="n">
        <f aca="false">M175*N175</f>
        <v>2499</v>
      </c>
      <c r="V175" s="6" t="n">
        <f aca="false">IF(O175="FLAT5",5%,IF(O175="FLAT10",10%,IF(O175="FLAT15",15%,IF(O175="FLAT20",20%,0))))</f>
        <v>0</v>
      </c>
      <c r="W175" s="5" t="n">
        <f aca="false">U175*(1-V175)</f>
        <v>2499</v>
      </c>
      <c r="X175" s="5" t="n">
        <f aca="false">W175+IF(O175="DEL0",0,Q175)</f>
        <v>2619</v>
      </c>
      <c r="Y175" s="0" t="str">
        <f aca="false">B175&amp;" "&amp;C175</f>
        <v>Kiran Sharma</v>
      </c>
      <c r="Z175" s="0" t="str">
        <f aca="false">IF(T175&lt;P175,"BeforeTime",IF(T175=P175,"Intime","Late"))</f>
        <v>Late</v>
      </c>
      <c r="AA175" s="0" t="str">
        <f aca="false">TEXT(J175,"mmm")</f>
        <v>Aug</v>
      </c>
      <c r="AB175" s="0" t="e">
        <f aca="false">xlookup(L175,Products!A:A,Products!B:B,"")</f>
        <v>#NAME?</v>
      </c>
    </row>
    <row r="176" customFormat="false" ht="15" hidden="false" customHeight="false" outlineLevel="0" collapsed="false">
      <c r="A176" s="0" t="s">
        <v>1004</v>
      </c>
      <c r="B176" s="0" t="s">
        <v>57</v>
      </c>
      <c r="C176" s="0" t="s">
        <v>417</v>
      </c>
      <c r="D176" s="0" t="n">
        <v>30</v>
      </c>
      <c r="E176" s="0" t="s">
        <v>36</v>
      </c>
      <c r="F176" s="0" t="s">
        <v>160</v>
      </c>
      <c r="G176" s="0" t="s">
        <v>1005</v>
      </c>
      <c r="H176" s="0" t="s">
        <v>1006</v>
      </c>
      <c r="I176" s="0" t="s">
        <v>1007</v>
      </c>
      <c r="J176" s="4" t="n">
        <v>45777</v>
      </c>
      <c r="K176" s="0" t="s">
        <v>304</v>
      </c>
      <c r="L176" s="0" t="s">
        <v>119</v>
      </c>
      <c r="M176" s="5" t="n">
        <v>899</v>
      </c>
      <c r="N176" s="0" t="n">
        <v>3</v>
      </c>
      <c r="O176" s="0" t="s">
        <v>54</v>
      </c>
      <c r="P176" s="0" t="n">
        <v>5</v>
      </c>
      <c r="Q176" s="5" t="n">
        <v>0</v>
      </c>
      <c r="R176" s="4" t="n">
        <v>45782</v>
      </c>
      <c r="S176" s="0" t="s">
        <v>546</v>
      </c>
      <c r="T176" s="0" t="n">
        <f aca="false">R176-J176</f>
        <v>5</v>
      </c>
      <c r="U176" s="5" t="n">
        <f aca="false">M176*N176</f>
        <v>2697</v>
      </c>
      <c r="V176" s="6" t="n">
        <f aca="false">IF(O176="FLAT5",5%,IF(O176="FLAT10",10%,IF(O176="FLAT15",15%,IF(O176="FLAT20",20%,0))))</f>
        <v>0</v>
      </c>
      <c r="W176" s="5" t="n">
        <f aca="false">U176*(1-V176)</f>
        <v>2697</v>
      </c>
      <c r="X176" s="5" t="n">
        <f aca="false">W176+IF(O176="DEL0",0,Q176)</f>
        <v>2697</v>
      </c>
      <c r="Y176" s="0" t="str">
        <f aca="false">B176&amp;" "&amp;C176</f>
        <v>Arjun Mehta</v>
      </c>
      <c r="Z176" s="0" t="str">
        <f aca="false">IF(T176&lt;P176,"BeforeTime",IF(T176=P176,"Intime","Late"))</f>
        <v>Intime</v>
      </c>
      <c r="AA176" s="0" t="str">
        <f aca="false">TEXT(J176,"mmm")</f>
        <v>Apr</v>
      </c>
      <c r="AB176" s="0" t="e">
        <f aca="false">xlookup(L176,Products!A:A,Products!B:B,"")</f>
        <v>#NAME?</v>
      </c>
    </row>
    <row r="177" customFormat="false" ht="15" hidden="false" customHeight="false" outlineLevel="0" collapsed="false">
      <c r="A177" s="0" t="s">
        <v>1008</v>
      </c>
      <c r="B177" s="0" t="s">
        <v>94</v>
      </c>
      <c r="C177" s="0" t="s">
        <v>123</v>
      </c>
      <c r="D177" s="0" t="n">
        <v>53</v>
      </c>
      <c r="E177" s="0" t="s">
        <v>48</v>
      </c>
      <c r="F177" s="0" t="s">
        <v>202</v>
      </c>
      <c r="G177" s="0" t="s">
        <v>1009</v>
      </c>
      <c r="H177" s="0" t="s">
        <v>613</v>
      </c>
      <c r="I177" s="0" t="s">
        <v>1010</v>
      </c>
      <c r="J177" s="4" t="n">
        <v>45874</v>
      </c>
      <c r="K177" s="0" t="s">
        <v>1011</v>
      </c>
      <c r="L177" s="0" t="s">
        <v>110</v>
      </c>
      <c r="M177" s="5" t="n">
        <v>1499</v>
      </c>
      <c r="N177" s="0" t="n">
        <v>3</v>
      </c>
      <c r="O177" s="0" t="s">
        <v>54</v>
      </c>
      <c r="P177" s="0" t="n">
        <v>7</v>
      </c>
      <c r="Q177" s="5" t="n">
        <v>0</v>
      </c>
      <c r="R177" s="4" t="n">
        <v>45875</v>
      </c>
      <c r="S177" s="0" t="s">
        <v>923</v>
      </c>
      <c r="T177" s="0" t="n">
        <f aca="false">R177-J177</f>
        <v>1</v>
      </c>
      <c r="U177" s="5" t="n">
        <f aca="false">M177*N177</f>
        <v>4497</v>
      </c>
      <c r="V177" s="6" t="n">
        <f aca="false">IF(O177="FLAT5",5%,IF(O177="FLAT10",10%,IF(O177="FLAT15",15%,IF(O177="FLAT20",20%,0))))</f>
        <v>0</v>
      </c>
      <c r="W177" s="5" t="n">
        <f aca="false">U177*(1-V177)</f>
        <v>4497</v>
      </c>
      <c r="X177" s="5" t="n">
        <f aca="false">W177+IF(O177="DEL0",0,Q177)</f>
        <v>4497</v>
      </c>
      <c r="Y177" s="0" t="str">
        <f aca="false">B177&amp;" "&amp;C177</f>
        <v>Manoj Nair</v>
      </c>
      <c r="Z177" s="0" t="str">
        <f aca="false">IF(T177&lt;P177,"BeforeTime",IF(T177=P177,"Intime","Late"))</f>
        <v>BeforeTime</v>
      </c>
      <c r="AA177" s="0" t="str">
        <f aca="false">TEXT(J177,"mmm")</f>
        <v>Aug</v>
      </c>
      <c r="AB177" s="0" t="e">
        <f aca="false">xlookup(L177,Products!A:A,Products!B:B,"")</f>
        <v>#NAME?</v>
      </c>
    </row>
    <row r="178" customFormat="false" ht="15" hidden="false" customHeight="false" outlineLevel="0" collapsed="false">
      <c r="A178" s="0" t="s">
        <v>374</v>
      </c>
      <c r="B178" s="0" t="s">
        <v>86</v>
      </c>
      <c r="C178" s="0" t="s">
        <v>417</v>
      </c>
      <c r="D178" s="0" t="n">
        <v>39</v>
      </c>
      <c r="E178" s="0" t="s">
        <v>36</v>
      </c>
      <c r="F178" s="0" t="s">
        <v>160</v>
      </c>
      <c r="G178" s="0" t="s">
        <v>1012</v>
      </c>
      <c r="H178" s="0" t="s">
        <v>1013</v>
      </c>
      <c r="I178" s="0" t="s">
        <v>1014</v>
      </c>
      <c r="J178" s="4" t="n">
        <v>45946</v>
      </c>
      <c r="K178" s="0" t="s">
        <v>968</v>
      </c>
      <c r="L178" s="0" t="s">
        <v>42</v>
      </c>
      <c r="M178" s="5" t="n">
        <v>2199</v>
      </c>
      <c r="N178" s="0" t="n">
        <v>2</v>
      </c>
      <c r="O178" s="0" t="s">
        <v>83</v>
      </c>
      <c r="P178" s="0" t="n">
        <v>2</v>
      </c>
      <c r="Q178" s="5" t="n">
        <v>50</v>
      </c>
      <c r="R178" s="4" t="n">
        <v>45948</v>
      </c>
      <c r="S178" s="0" t="s">
        <v>1015</v>
      </c>
      <c r="T178" s="0" t="n">
        <f aca="false">R178-J178</f>
        <v>2</v>
      </c>
      <c r="U178" s="5" t="n">
        <f aca="false">M178*N178</f>
        <v>4398</v>
      </c>
      <c r="V178" s="6" t="n">
        <f aca="false">IF(O178="FLAT5",5%,IF(O178="FLAT10",10%,IF(O178="FLAT15",15%,IF(O178="FLAT20",20%,0))))</f>
        <v>0.05</v>
      </c>
      <c r="W178" s="5" t="n">
        <f aca="false">U178*(1-V178)</f>
        <v>4178.1</v>
      </c>
      <c r="X178" s="5" t="n">
        <f aca="false">W178+IF(O178="DEL0",0,Q178)</f>
        <v>4228.1</v>
      </c>
      <c r="Y178" s="0" t="str">
        <f aca="false">B178&amp;" "&amp;C178</f>
        <v>Rahul Mehta</v>
      </c>
      <c r="Z178" s="0" t="str">
        <f aca="false">IF(T178&lt;P178,"BeforeTime",IF(T178=P178,"Intime","Late"))</f>
        <v>Intime</v>
      </c>
      <c r="AA178" s="0" t="str">
        <f aca="false">TEXT(J178,"mmm")</f>
        <v>Oct</v>
      </c>
      <c r="AB178" s="0" t="e">
        <f aca="false">xlookup(L178,Products!A:A,Products!B:B,"")</f>
        <v>#NAME?</v>
      </c>
    </row>
    <row r="179" customFormat="false" ht="15" hidden="false" customHeight="false" outlineLevel="0" collapsed="false">
      <c r="A179" s="0" t="s">
        <v>1016</v>
      </c>
      <c r="B179" s="0" t="s">
        <v>282</v>
      </c>
      <c r="C179" s="0" t="s">
        <v>105</v>
      </c>
      <c r="D179" s="0" t="n">
        <v>33</v>
      </c>
      <c r="E179" s="0" t="s">
        <v>36</v>
      </c>
      <c r="F179" s="0" t="s">
        <v>140</v>
      </c>
      <c r="G179" s="0" t="s">
        <v>1017</v>
      </c>
      <c r="H179" s="0" t="s">
        <v>1018</v>
      </c>
      <c r="I179" s="0" t="s">
        <v>1019</v>
      </c>
      <c r="J179" s="4" t="n">
        <v>45854</v>
      </c>
      <c r="K179" s="0" t="s">
        <v>1020</v>
      </c>
      <c r="L179" s="0" t="s">
        <v>42</v>
      </c>
      <c r="M179" s="5" t="n">
        <v>2199</v>
      </c>
      <c r="N179" s="0" t="n">
        <v>1</v>
      </c>
      <c r="O179" s="0" t="s">
        <v>43</v>
      </c>
      <c r="P179" s="0" t="n">
        <v>4</v>
      </c>
      <c r="Q179" s="5" t="n">
        <v>50</v>
      </c>
      <c r="R179" s="4" t="n">
        <v>45861</v>
      </c>
      <c r="S179" s="0" t="s">
        <v>1021</v>
      </c>
      <c r="T179" s="0" t="n">
        <f aca="false">R179-J179</f>
        <v>7</v>
      </c>
      <c r="U179" s="5" t="n">
        <f aca="false">M179*N179</f>
        <v>2199</v>
      </c>
      <c r="V179" s="6" t="n">
        <f aca="false">IF(O179="FLAT5",5%,IF(O179="FLAT10",10%,IF(O179="FLAT15",15%,IF(O179="FLAT20",20%,0))))</f>
        <v>0.2</v>
      </c>
      <c r="W179" s="5" t="n">
        <f aca="false">U179*(1-V179)</f>
        <v>1759.2</v>
      </c>
      <c r="X179" s="5" t="n">
        <f aca="false">W179+IF(O179="DEL0",0,Q179)</f>
        <v>1809.2</v>
      </c>
      <c r="Y179" s="0" t="str">
        <f aca="false">B179&amp;" "&amp;C179</f>
        <v>Nisha Bhat</v>
      </c>
      <c r="Z179" s="0" t="str">
        <f aca="false">IF(T179&lt;P179,"BeforeTime",IF(T179=P179,"Intime","Late"))</f>
        <v>Late</v>
      </c>
      <c r="AA179" s="0" t="str">
        <f aca="false">TEXT(J179,"mmm")</f>
        <v>Jul</v>
      </c>
      <c r="AB179" s="0" t="e">
        <f aca="false">xlookup(L179,Products!A:A,Products!B:B,"")</f>
        <v>#NAME?</v>
      </c>
    </row>
    <row r="180" customFormat="false" ht="15" hidden="false" customHeight="false" outlineLevel="0" collapsed="false">
      <c r="A180" s="0" t="s">
        <v>1022</v>
      </c>
      <c r="B180" s="0" t="s">
        <v>104</v>
      </c>
      <c r="C180" s="0" t="s">
        <v>368</v>
      </c>
      <c r="D180" s="0" t="n">
        <v>21</v>
      </c>
      <c r="E180" s="0" t="s">
        <v>48</v>
      </c>
      <c r="F180" s="0" t="s">
        <v>37</v>
      </c>
      <c r="G180" s="0" t="s">
        <v>1023</v>
      </c>
      <c r="H180" s="0" t="s">
        <v>613</v>
      </c>
      <c r="I180" s="0" t="s">
        <v>1024</v>
      </c>
      <c r="J180" s="4" t="n">
        <v>45809</v>
      </c>
      <c r="K180" s="0" t="s">
        <v>1025</v>
      </c>
      <c r="L180" s="0" t="s">
        <v>240</v>
      </c>
      <c r="M180" s="5" t="n">
        <v>4999</v>
      </c>
      <c r="N180" s="0" t="n">
        <v>2</v>
      </c>
      <c r="O180" s="0" t="s">
        <v>54</v>
      </c>
      <c r="P180" s="0" t="n">
        <v>7</v>
      </c>
      <c r="Q180" s="5" t="n">
        <v>0</v>
      </c>
      <c r="R180" s="4" t="n">
        <v>45811</v>
      </c>
      <c r="S180" s="0" t="s">
        <v>1026</v>
      </c>
      <c r="T180" s="0" t="n">
        <f aca="false">R180-J180</f>
        <v>2</v>
      </c>
      <c r="U180" s="5" t="n">
        <f aca="false">M180*N180</f>
        <v>9998</v>
      </c>
      <c r="V180" s="6" t="n">
        <f aca="false">IF(O180="FLAT5",5%,IF(O180="FLAT10",10%,IF(O180="FLAT15",15%,IF(O180="FLAT20",20%,0))))</f>
        <v>0</v>
      </c>
      <c r="W180" s="5" t="n">
        <f aca="false">U180*(1-V180)</f>
        <v>9998</v>
      </c>
      <c r="X180" s="5" t="n">
        <f aca="false">W180+IF(O180="DEL0",0,Q180)</f>
        <v>9998</v>
      </c>
      <c r="Y180" s="0" t="str">
        <f aca="false">B180&amp;" "&amp;C180</f>
        <v>Keerthi Das</v>
      </c>
      <c r="Z180" s="0" t="str">
        <f aca="false">IF(T180&lt;P180,"BeforeTime",IF(T180=P180,"Intime","Late"))</f>
        <v>BeforeTime</v>
      </c>
      <c r="AA180" s="0" t="str">
        <f aca="false">TEXT(J180,"mmm")</f>
        <v>Jun</v>
      </c>
      <c r="AB180" s="0" t="e">
        <f aca="false">xlookup(L180,Products!A:A,Products!B:B,"")</f>
        <v>#NAME?</v>
      </c>
    </row>
    <row r="181" customFormat="false" ht="15" hidden="false" customHeight="false" outlineLevel="0" collapsed="false">
      <c r="A181" s="0" t="s">
        <v>411</v>
      </c>
      <c r="B181" s="0" t="s">
        <v>57</v>
      </c>
      <c r="C181" s="0" t="s">
        <v>35</v>
      </c>
      <c r="D181" s="0" t="n">
        <v>43</v>
      </c>
      <c r="E181" s="0" t="s">
        <v>48</v>
      </c>
      <c r="F181" s="0" t="s">
        <v>262</v>
      </c>
      <c r="G181" s="0" t="s">
        <v>1027</v>
      </c>
      <c r="H181" s="0" t="s">
        <v>1028</v>
      </c>
      <c r="I181" s="0" t="s">
        <v>1029</v>
      </c>
      <c r="J181" s="4" t="n">
        <v>46007</v>
      </c>
      <c r="K181" s="0" t="s">
        <v>246</v>
      </c>
      <c r="L181" s="0" t="s">
        <v>136</v>
      </c>
      <c r="M181" s="5" t="n">
        <v>1799</v>
      </c>
      <c r="N181" s="0" t="n">
        <v>4</v>
      </c>
      <c r="O181" s="0" t="s">
        <v>91</v>
      </c>
      <c r="P181" s="0" t="n">
        <v>3</v>
      </c>
      <c r="Q181" s="5" t="n">
        <v>40</v>
      </c>
      <c r="R181" s="4" t="n">
        <v>46011</v>
      </c>
      <c r="S181" s="0" t="s">
        <v>118</v>
      </c>
      <c r="T181" s="0" t="n">
        <f aca="false">R181-J181</f>
        <v>4</v>
      </c>
      <c r="U181" s="5" t="n">
        <f aca="false">M181*N181</f>
        <v>7196</v>
      </c>
      <c r="V181" s="6" t="n">
        <f aca="false">IF(O181="FLAT5",5%,IF(O181="FLAT10",10%,IF(O181="FLAT15",15%,IF(O181="FLAT20",20%,0))))</f>
        <v>0.1</v>
      </c>
      <c r="W181" s="5" t="n">
        <f aca="false">U181*(1-V181)</f>
        <v>6476.4</v>
      </c>
      <c r="X181" s="5" t="n">
        <f aca="false">W181+IF(O181="DEL0",0,Q181)</f>
        <v>6516.4</v>
      </c>
      <c r="Y181" s="0" t="str">
        <f aca="false">B181&amp;" "&amp;C181</f>
        <v>Arjun Sharma</v>
      </c>
      <c r="Z181" s="0" t="str">
        <f aca="false">IF(T181&lt;P181,"BeforeTime",IF(T181=P181,"Intime","Late"))</f>
        <v>Late</v>
      </c>
      <c r="AA181" s="0" t="str">
        <f aca="false">TEXT(J181,"mmm")</f>
        <v>Dec</v>
      </c>
      <c r="AB181" s="0" t="e">
        <f aca="false">xlookup(L181,Products!A:A,Products!B:B,"")</f>
        <v>#NAME?</v>
      </c>
    </row>
    <row r="182" customFormat="false" ht="15" hidden="false" customHeight="false" outlineLevel="0" collapsed="false">
      <c r="A182" s="0" t="s">
        <v>616</v>
      </c>
      <c r="B182" s="0" t="s">
        <v>174</v>
      </c>
      <c r="C182" s="0" t="s">
        <v>58</v>
      </c>
      <c r="D182" s="0" t="n">
        <v>52</v>
      </c>
      <c r="E182" s="0" t="s">
        <v>48</v>
      </c>
      <c r="F182" s="0" t="s">
        <v>77</v>
      </c>
      <c r="G182" s="0" t="s">
        <v>1030</v>
      </c>
      <c r="H182" s="0" t="s">
        <v>1031</v>
      </c>
      <c r="I182" s="0" t="s">
        <v>1032</v>
      </c>
      <c r="J182" s="4" t="n">
        <v>45700</v>
      </c>
      <c r="K182" s="0" t="s">
        <v>1033</v>
      </c>
      <c r="L182" s="0" t="s">
        <v>136</v>
      </c>
      <c r="M182" s="5" t="n">
        <v>1799</v>
      </c>
      <c r="N182" s="0" t="n">
        <v>4</v>
      </c>
      <c r="O182" s="0" t="s">
        <v>54</v>
      </c>
      <c r="P182" s="0" t="n">
        <v>7</v>
      </c>
      <c r="Q182" s="5" t="n">
        <v>0</v>
      </c>
      <c r="R182" s="4" t="n">
        <v>45707</v>
      </c>
      <c r="S182" s="0" t="s">
        <v>315</v>
      </c>
      <c r="T182" s="0" t="n">
        <f aca="false">R182-J182</f>
        <v>7</v>
      </c>
      <c r="U182" s="5" t="n">
        <f aca="false">M182*N182</f>
        <v>7196</v>
      </c>
      <c r="V182" s="6" t="n">
        <f aca="false">IF(O182="FLAT5",5%,IF(O182="FLAT10",10%,IF(O182="FLAT15",15%,IF(O182="FLAT20",20%,0))))</f>
        <v>0</v>
      </c>
      <c r="W182" s="5" t="n">
        <f aca="false">U182*(1-V182)</f>
        <v>7196</v>
      </c>
      <c r="X182" s="5" t="n">
        <f aca="false">W182+IF(O182="DEL0",0,Q182)</f>
        <v>7196</v>
      </c>
      <c r="Y182" s="0" t="str">
        <f aca="false">B182&amp;" "&amp;C182</f>
        <v>Ananya Iyer</v>
      </c>
      <c r="Z182" s="0" t="str">
        <f aca="false">IF(T182&lt;P182,"BeforeTime",IF(T182=P182,"Intime","Late"))</f>
        <v>Intime</v>
      </c>
      <c r="AA182" s="0" t="str">
        <f aca="false">TEXT(J182,"mmm")</f>
        <v>Feb</v>
      </c>
      <c r="AB182" s="0" t="e">
        <f aca="false">xlookup(L182,Products!A:A,Products!B:B,"")</f>
        <v>#NAME?</v>
      </c>
    </row>
    <row r="183" customFormat="false" ht="15" hidden="false" customHeight="false" outlineLevel="0" collapsed="false">
      <c r="A183" s="0" t="s">
        <v>1034</v>
      </c>
      <c r="B183" s="0" t="s">
        <v>188</v>
      </c>
      <c r="C183" s="0" t="s">
        <v>195</v>
      </c>
      <c r="D183" s="0" t="n">
        <v>54</v>
      </c>
      <c r="E183" s="0" t="s">
        <v>48</v>
      </c>
      <c r="F183" s="0" t="s">
        <v>160</v>
      </c>
      <c r="G183" s="0" t="s">
        <v>1035</v>
      </c>
      <c r="H183" s="0" t="s">
        <v>1036</v>
      </c>
      <c r="I183" s="0" t="s">
        <v>1037</v>
      </c>
      <c r="J183" s="4" t="n">
        <v>45881</v>
      </c>
      <c r="K183" s="0" t="s">
        <v>1038</v>
      </c>
      <c r="L183" s="0" t="s">
        <v>64</v>
      </c>
      <c r="M183" s="5" t="n">
        <v>2799</v>
      </c>
      <c r="N183" s="0" t="n">
        <v>1</v>
      </c>
      <c r="O183" s="0" t="s">
        <v>91</v>
      </c>
      <c r="P183" s="0" t="n">
        <v>7</v>
      </c>
      <c r="Q183" s="5" t="n">
        <v>40</v>
      </c>
      <c r="R183" s="4" t="n">
        <v>45890</v>
      </c>
      <c r="S183" s="0" t="s">
        <v>1021</v>
      </c>
      <c r="T183" s="0" t="n">
        <f aca="false">R183-J183</f>
        <v>9</v>
      </c>
      <c r="U183" s="5" t="n">
        <f aca="false">M183*N183</f>
        <v>2799</v>
      </c>
      <c r="V183" s="6" t="n">
        <f aca="false">IF(O183="FLAT5",5%,IF(O183="FLAT10",10%,IF(O183="FLAT15",15%,IF(O183="FLAT20",20%,0))))</f>
        <v>0.1</v>
      </c>
      <c r="W183" s="5" t="n">
        <f aca="false">U183*(1-V183)</f>
        <v>2519.1</v>
      </c>
      <c r="X183" s="5" t="n">
        <f aca="false">W183+IF(O183="DEL0",0,Q183)</f>
        <v>2559.1</v>
      </c>
      <c r="Y183" s="0" t="str">
        <f aca="false">B183&amp;" "&amp;C183</f>
        <v>Rohan Singh</v>
      </c>
      <c r="Z183" s="0" t="str">
        <f aca="false">IF(T183&lt;P183,"BeforeTime",IF(T183=P183,"Intime","Late"))</f>
        <v>Late</v>
      </c>
      <c r="AA183" s="0" t="str">
        <f aca="false">TEXT(J183,"mmm")</f>
        <v>Aug</v>
      </c>
      <c r="AB183" s="0" t="e">
        <f aca="false">xlookup(L183,Products!A:A,Products!B:B,"")</f>
        <v>#NAME?</v>
      </c>
    </row>
    <row r="184" customFormat="false" ht="15" hidden="false" customHeight="false" outlineLevel="0" collapsed="false">
      <c r="A184" s="0" t="s">
        <v>1039</v>
      </c>
      <c r="B184" s="0" t="s">
        <v>174</v>
      </c>
      <c r="C184" s="0" t="s">
        <v>368</v>
      </c>
      <c r="D184" s="0" t="n">
        <v>31</v>
      </c>
      <c r="E184" s="0" t="s">
        <v>36</v>
      </c>
      <c r="F184" s="0" t="s">
        <v>202</v>
      </c>
      <c r="G184" s="0" t="s">
        <v>1040</v>
      </c>
      <c r="H184" s="0" t="s">
        <v>1041</v>
      </c>
      <c r="I184" s="0" t="s">
        <v>1042</v>
      </c>
      <c r="J184" s="4" t="n">
        <v>45741</v>
      </c>
      <c r="K184" s="0" t="s">
        <v>780</v>
      </c>
      <c r="L184" s="0" t="s">
        <v>82</v>
      </c>
      <c r="M184" s="5" t="n">
        <v>1199</v>
      </c>
      <c r="N184" s="0" t="n">
        <v>2</v>
      </c>
      <c r="O184" s="0" t="s">
        <v>54</v>
      </c>
      <c r="P184" s="0" t="n">
        <v>5</v>
      </c>
      <c r="Q184" s="5" t="n">
        <v>0</v>
      </c>
      <c r="R184" s="4" t="n">
        <v>45749</v>
      </c>
      <c r="S184" s="0" t="s">
        <v>1043</v>
      </c>
      <c r="T184" s="0" t="n">
        <f aca="false">R184-J184</f>
        <v>8</v>
      </c>
      <c r="U184" s="5" t="n">
        <f aca="false">M184*N184</f>
        <v>2398</v>
      </c>
      <c r="V184" s="6" t="n">
        <f aca="false">IF(O184="FLAT5",5%,IF(O184="FLAT10",10%,IF(O184="FLAT15",15%,IF(O184="FLAT20",20%,0))))</f>
        <v>0</v>
      </c>
      <c r="W184" s="5" t="n">
        <f aca="false">U184*(1-V184)</f>
        <v>2398</v>
      </c>
      <c r="X184" s="5" t="n">
        <f aca="false">W184+IF(O184="DEL0",0,Q184)</f>
        <v>2398</v>
      </c>
      <c r="Y184" s="0" t="str">
        <f aca="false">B184&amp;" "&amp;C184</f>
        <v>Ananya Das</v>
      </c>
      <c r="Z184" s="0" t="str">
        <f aca="false">IF(T184&lt;P184,"BeforeTime",IF(T184=P184,"Intime","Late"))</f>
        <v>Late</v>
      </c>
      <c r="AA184" s="0" t="str">
        <f aca="false">TEXT(J184,"mmm")</f>
        <v>Mar</v>
      </c>
      <c r="AB184" s="0" t="e">
        <f aca="false">xlookup(L184,Products!A:A,Products!B:B,"")</f>
        <v>#NAME?</v>
      </c>
    </row>
    <row r="185" customFormat="false" ht="15" hidden="false" customHeight="false" outlineLevel="0" collapsed="false">
      <c r="A185" s="0" t="s">
        <v>1044</v>
      </c>
      <c r="B185" s="0" t="s">
        <v>34</v>
      </c>
      <c r="C185" s="0" t="s">
        <v>35</v>
      </c>
      <c r="D185" s="0" t="n">
        <v>41</v>
      </c>
      <c r="E185" s="0" t="s">
        <v>48</v>
      </c>
      <c r="F185" s="0" t="s">
        <v>114</v>
      </c>
      <c r="G185" s="0" t="s">
        <v>1045</v>
      </c>
      <c r="H185" s="0" t="s">
        <v>1046</v>
      </c>
      <c r="I185" s="0" t="s">
        <v>1047</v>
      </c>
      <c r="J185" s="4" t="n">
        <v>45953</v>
      </c>
      <c r="K185" s="0" t="s">
        <v>1048</v>
      </c>
      <c r="L185" s="0" t="s">
        <v>240</v>
      </c>
      <c r="M185" s="5" t="n">
        <v>4999</v>
      </c>
      <c r="N185" s="0" t="n">
        <v>1</v>
      </c>
      <c r="O185" s="0" t="s">
        <v>91</v>
      </c>
      <c r="P185" s="0" t="n">
        <v>7</v>
      </c>
      <c r="Q185" s="5" t="n">
        <v>90</v>
      </c>
      <c r="R185" s="4" t="n">
        <v>45957</v>
      </c>
      <c r="S185" s="0" t="s">
        <v>1049</v>
      </c>
      <c r="T185" s="0" t="n">
        <f aca="false">R185-J185</f>
        <v>4</v>
      </c>
      <c r="U185" s="5" t="n">
        <f aca="false">M185*N185</f>
        <v>4999</v>
      </c>
      <c r="V185" s="6" t="n">
        <f aca="false">IF(O185="FLAT5",5%,IF(O185="FLAT10",10%,IF(O185="FLAT15",15%,IF(O185="FLAT20",20%,0))))</f>
        <v>0.1</v>
      </c>
      <c r="W185" s="5" t="n">
        <f aca="false">U185*(1-V185)</f>
        <v>4499.1</v>
      </c>
      <c r="X185" s="5" t="n">
        <f aca="false">W185+IF(O185="DEL0",0,Q185)</f>
        <v>4589.1</v>
      </c>
      <c r="Y185" s="0" t="str">
        <f aca="false">B185&amp;" "&amp;C185</f>
        <v>Diya Sharma</v>
      </c>
      <c r="Z185" s="0" t="str">
        <f aca="false">IF(T185&lt;P185,"BeforeTime",IF(T185=P185,"Intime","Late"))</f>
        <v>BeforeTime</v>
      </c>
      <c r="AA185" s="0" t="str">
        <f aca="false">TEXT(J185,"mmm")</f>
        <v>Oct</v>
      </c>
      <c r="AB185" s="0" t="e">
        <f aca="false">xlookup(L185,Products!A:A,Products!B:B,"")</f>
        <v>#NAME?</v>
      </c>
    </row>
    <row r="186" customFormat="false" ht="15" hidden="false" customHeight="false" outlineLevel="0" collapsed="false">
      <c r="A186" s="0" t="s">
        <v>1050</v>
      </c>
      <c r="B186" s="0" t="s">
        <v>582</v>
      </c>
      <c r="C186" s="0" t="s">
        <v>181</v>
      </c>
      <c r="D186" s="0" t="n">
        <v>26</v>
      </c>
      <c r="E186" s="0" t="s">
        <v>36</v>
      </c>
      <c r="F186" s="0" t="s">
        <v>37</v>
      </c>
      <c r="G186" s="0" t="s">
        <v>1051</v>
      </c>
      <c r="H186" s="0" t="s">
        <v>1052</v>
      </c>
      <c r="I186" s="0" t="s">
        <v>1053</v>
      </c>
      <c r="J186" s="4" t="n">
        <v>45664</v>
      </c>
      <c r="K186" s="0" t="s">
        <v>1054</v>
      </c>
      <c r="L186" s="0" t="s">
        <v>82</v>
      </c>
      <c r="M186" s="5" t="n">
        <v>1199</v>
      </c>
      <c r="N186" s="0" t="n">
        <v>1</v>
      </c>
      <c r="O186" s="0" t="s">
        <v>83</v>
      </c>
      <c r="P186" s="0" t="n">
        <v>3</v>
      </c>
      <c r="Q186" s="5" t="n">
        <v>75</v>
      </c>
      <c r="R186" s="4" t="n">
        <v>45666</v>
      </c>
      <c r="S186" s="0" t="s">
        <v>320</v>
      </c>
      <c r="T186" s="0" t="n">
        <f aca="false">R186-J186</f>
        <v>2</v>
      </c>
      <c r="U186" s="5" t="n">
        <f aca="false">M186*N186</f>
        <v>1199</v>
      </c>
      <c r="V186" s="6" t="n">
        <f aca="false">IF(O186="FLAT5",5%,IF(O186="FLAT10",10%,IF(O186="FLAT15",15%,IF(O186="FLAT20",20%,0))))</f>
        <v>0.05</v>
      </c>
      <c r="W186" s="5" t="n">
        <f aca="false">U186*(1-V186)</f>
        <v>1139.05</v>
      </c>
      <c r="X186" s="5" t="n">
        <f aca="false">W186+IF(O186="DEL0",0,Q186)</f>
        <v>1214.05</v>
      </c>
      <c r="Y186" s="0" t="str">
        <f aca="false">B186&amp;" "&amp;C186</f>
        <v>Kavya Gupta</v>
      </c>
      <c r="Z186" s="0" t="str">
        <f aca="false">IF(T186&lt;P186,"BeforeTime",IF(T186=P186,"Intime","Late"))</f>
        <v>BeforeTime</v>
      </c>
      <c r="AA186" s="0" t="str">
        <f aca="false">TEXT(J186,"mmm")</f>
        <v>Jan</v>
      </c>
      <c r="AB186" s="0" t="e">
        <f aca="false">xlookup(L186,Products!A:A,Products!B:B,"")</f>
        <v>#NAME?</v>
      </c>
    </row>
    <row r="187" customFormat="false" ht="15" hidden="false" customHeight="false" outlineLevel="0" collapsed="false">
      <c r="A187" s="0" t="s">
        <v>914</v>
      </c>
      <c r="B187" s="0" t="s">
        <v>282</v>
      </c>
      <c r="C187" s="0" t="s">
        <v>123</v>
      </c>
      <c r="D187" s="0" t="n">
        <v>40</v>
      </c>
      <c r="E187" s="0" t="s">
        <v>36</v>
      </c>
      <c r="F187" s="0" t="s">
        <v>160</v>
      </c>
      <c r="G187" s="0" t="s">
        <v>1055</v>
      </c>
      <c r="H187" s="0" t="s">
        <v>1056</v>
      </c>
      <c r="I187" s="0" t="s">
        <v>1057</v>
      </c>
      <c r="J187" s="4" t="n">
        <v>45697</v>
      </c>
      <c r="K187" s="0" t="s">
        <v>698</v>
      </c>
      <c r="L187" s="0" t="s">
        <v>82</v>
      </c>
      <c r="M187" s="5" t="n">
        <v>1199</v>
      </c>
      <c r="N187" s="0" t="n">
        <v>3</v>
      </c>
      <c r="O187" s="0" t="s">
        <v>91</v>
      </c>
      <c r="P187" s="0" t="n">
        <v>6</v>
      </c>
      <c r="Q187" s="5" t="n">
        <v>90</v>
      </c>
      <c r="R187" s="4" t="n">
        <v>45703</v>
      </c>
      <c r="S187" s="0" t="s">
        <v>392</v>
      </c>
      <c r="T187" s="0" t="n">
        <f aca="false">R187-J187</f>
        <v>6</v>
      </c>
      <c r="U187" s="5" t="n">
        <f aca="false">M187*N187</f>
        <v>3597</v>
      </c>
      <c r="V187" s="6" t="n">
        <f aca="false">IF(O187="FLAT5",5%,IF(O187="FLAT10",10%,IF(O187="FLAT15",15%,IF(O187="FLAT20",20%,0))))</f>
        <v>0.1</v>
      </c>
      <c r="W187" s="5" t="n">
        <f aca="false">U187*(1-V187)</f>
        <v>3237.3</v>
      </c>
      <c r="X187" s="5" t="n">
        <f aca="false">W187+IF(O187="DEL0",0,Q187)</f>
        <v>3327.3</v>
      </c>
      <c r="Y187" s="0" t="str">
        <f aca="false">B187&amp;" "&amp;C187</f>
        <v>Nisha Nair</v>
      </c>
      <c r="Z187" s="0" t="str">
        <f aca="false">IF(T187&lt;P187,"BeforeTime",IF(T187=P187,"Intime","Late"))</f>
        <v>Intime</v>
      </c>
      <c r="AA187" s="0" t="str">
        <f aca="false">TEXT(J187,"mmm")</f>
        <v>Feb</v>
      </c>
      <c r="AB187" s="0" t="e">
        <f aca="false">xlookup(L187,Products!A:A,Products!B:B,"")</f>
        <v>#NAME?</v>
      </c>
    </row>
    <row r="188" customFormat="false" ht="15" hidden="false" customHeight="false" outlineLevel="0" collapsed="false">
      <c r="A188" s="0" t="s">
        <v>1058</v>
      </c>
      <c r="B188" s="0" t="s">
        <v>294</v>
      </c>
      <c r="C188" s="0" t="s">
        <v>76</v>
      </c>
      <c r="D188" s="0" t="n">
        <v>49</v>
      </c>
      <c r="E188" s="0" t="s">
        <v>48</v>
      </c>
      <c r="F188" s="0" t="s">
        <v>114</v>
      </c>
      <c r="G188" s="0" t="s">
        <v>1059</v>
      </c>
      <c r="H188" s="0" t="s">
        <v>1060</v>
      </c>
      <c r="I188" s="0" t="s">
        <v>1061</v>
      </c>
      <c r="J188" s="4" t="n">
        <v>45662</v>
      </c>
      <c r="K188" s="0" t="s">
        <v>947</v>
      </c>
      <c r="L188" s="0" t="s">
        <v>391</v>
      </c>
      <c r="M188" s="5" t="n">
        <v>3499</v>
      </c>
      <c r="N188" s="0" t="n">
        <v>1</v>
      </c>
      <c r="O188" s="0" t="s">
        <v>101</v>
      </c>
      <c r="P188" s="0" t="n">
        <v>4</v>
      </c>
      <c r="Q188" s="5" t="n">
        <v>90</v>
      </c>
      <c r="R188" s="4" t="n">
        <v>45666</v>
      </c>
      <c r="S188" s="0" t="s">
        <v>732</v>
      </c>
      <c r="T188" s="0" t="n">
        <f aca="false">R188-J188</f>
        <v>4</v>
      </c>
      <c r="U188" s="5" t="n">
        <f aca="false">M188*N188</f>
        <v>3499</v>
      </c>
      <c r="V188" s="6" t="n">
        <f aca="false">IF(O188="FLAT5",5%,IF(O188="FLAT10",10%,IF(O188="FLAT15",15%,IF(O188="FLAT20",20%,0))))</f>
        <v>0.15</v>
      </c>
      <c r="W188" s="5" t="n">
        <f aca="false">U188*(1-V188)</f>
        <v>2974.15</v>
      </c>
      <c r="X188" s="5" t="n">
        <f aca="false">W188+IF(O188="DEL0",0,Q188)</f>
        <v>3064.15</v>
      </c>
      <c r="Y188" s="0" t="str">
        <f aca="false">B188&amp;" "&amp;C188</f>
        <v>Aditya Patel</v>
      </c>
      <c r="Z188" s="0" t="str">
        <f aca="false">IF(T188&lt;P188,"BeforeTime",IF(T188=P188,"Intime","Late"))</f>
        <v>Intime</v>
      </c>
      <c r="AA188" s="0" t="str">
        <f aca="false">TEXT(J188,"mmm")</f>
        <v>Jan</v>
      </c>
      <c r="AB188" s="0" t="e">
        <f aca="false">xlookup(L188,Products!A:A,Products!B:B,"")</f>
        <v>#NAME?</v>
      </c>
    </row>
    <row r="189" customFormat="false" ht="15" hidden="false" customHeight="false" outlineLevel="0" collapsed="false">
      <c r="A189" s="0" t="s">
        <v>1062</v>
      </c>
      <c r="B189" s="0" t="s">
        <v>147</v>
      </c>
      <c r="C189" s="0" t="s">
        <v>47</v>
      </c>
      <c r="D189" s="0" t="n">
        <v>54</v>
      </c>
      <c r="E189" s="0" t="s">
        <v>36</v>
      </c>
      <c r="F189" s="0" t="s">
        <v>262</v>
      </c>
      <c r="G189" s="0" t="s">
        <v>1063</v>
      </c>
      <c r="H189" s="0" t="s">
        <v>1064</v>
      </c>
      <c r="I189" s="0" t="s">
        <v>1065</v>
      </c>
      <c r="J189" s="4" t="n">
        <v>45935</v>
      </c>
      <c r="K189" s="0" t="s">
        <v>1066</v>
      </c>
      <c r="L189" s="0" t="s">
        <v>110</v>
      </c>
      <c r="M189" s="5" t="n">
        <v>1499</v>
      </c>
      <c r="N189" s="0" t="n">
        <v>4</v>
      </c>
      <c r="O189" s="0" t="s">
        <v>83</v>
      </c>
      <c r="P189" s="0" t="n">
        <v>4</v>
      </c>
      <c r="Q189" s="5" t="n">
        <v>120</v>
      </c>
      <c r="R189" s="4" t="n">
        <v>45939</v>
      </c>
      <c r="S189" s="0" t="s">
        <v>1067</v>
      </c>
      <c r="T189" s="0" t="n">
        <f aca="false">R189-J189</f>
        <v>4</v>
      </c>
      <c r="U189" s="5" t="n">
        <f aca="false">M189*N189</f>
        <v>5996</v>
      </c>
      <c r="V189" s="6" t="n">
        <f aca="false">IF(O189="FLAT5",5%,IF(O189="FLAT10",10%,IF(O189="FLAT15",15%,IF(O189="FLAT20",20%,0))))</f>
        <v>0.05</v>
      </c>
      <c r="W189" s="5" t="n">
        <f aca="false">U189*(1-V189)</f>
        <v>5696.2</v>
      </c>
      <c r="X189" s="5" t="n">
        <f aca="false">W189+IF(O189="DEL0",0,Q189)</f>
        <v>5816.2</v>
      </c>
      <c r="Y189" s="0" t="str">
        <f aca="false">B189&amp;" "&amp;C189</f>
        <v>Pooja Verma</v>
      </c>
      <c r="Z189" s="0" t="str">
        <f aca="false">IF(T189&lt;P189,"BeforeTime",IF(T189=P189,"Intime","Late"))</f>
        <v>Intime</v>
      </c>
      <c r="AA189" s="0" t="str">
        <f aca="false">TEXT(J189,"mmm")</f>
        <v>Oct</v>
      </c>
      <c r="AB189" s="0" t="e">
        <f aca="false">xlookup(L189,Products!A:A,Products!B:B,"")</f>
        <v>#NAME?</v>
      </c>
    </row>
    <row r="190" customFormat="false" ht="15" hidden="false" customHeight="false" outlineLevel="0" collapsed="false">
      <c r="A190" s="0" t="s">
        <v>1050</v>
      </c>
      <c r="B190" s="0" t="s">
        <v>122</v>
      </c>
      <c r="C190" s="0" t="s">
        <v>261</v>
      </c>
      <c r="D190" s="0" t="n">
        <v>33</v>
      </c>
      <c r="E190" s="0" t="s">
        <v>36</v>
      </c>
      <c r="F190" s="0" t="s">
        <v>160</v>
      </c>
      <c r="G190" s="0" t="s">
        <v>1068</v>
      </c>
      <c r="H190" s="0" t="s">
        <v>1069</v>
      </c>
      <c r="I190" s="0" t="s">
        <v>1070</v>
      </c>
      <c r="J190" s="4" t="n">
        <v>45730</v>
      </c>
      <c r="K190" s="0" t="s">
        <v>1071</v>
      </c>
      <c r="L190" s="0" t="s">
        <v>53</v>
      </c>
      <c r="M190" s="5" t="n">
        <v>2499</v>
      </c>
      <c r="N190" s="0" t="n">
        <v>1</v>
      </c>
      <c r="O190" s="0" t="s">
        <v>259</v>
      </c>
      <c r="P190" s="0" t="n">
        <v>7</v>
      </c>
      <c r="Q190" s="5" t="n">
        <v>40</v>
      </c>
      <c r="R190" s="4" t="n">
        <v>45737</v>
      </c>
      <c r="S190" s="0" t="s">
        <v>933</v>
      </c>
      <c r="T190" s="0" t="n">
        <f aca="false">R190-J190</f>
        <v>7</v>
      </c>
      <c r="U190" s="5" t="n">
        <f aca="false">M190*N190</f>
        <v>2499</v>
      </c>
      <c r="V190" s="6" t="n">
        <f aca="false">IF(O190="FLAT5",5%,IF(O190="FLAT10",10%,IF(O190="FLAT15",15%,IF(O190="FLAT20",20%,0))))</f>
        <v>0</v>
      </c>
      <c r="W190" s="5" t="n">
        <f aca="false">U190*(1-V190)</f>
        <v>2499</v>
      </c>
      <c r="X190" s="5" t="n">
        <f aca="false">W190+IF(O190="DEL0",0,Q190)</f>
        <v>2539</v>
      </c>
      <c r="Y190" s="0" t="str">
        <f aca="false">B190&amp;" "&amp;C190</f>
        <v>Meera Kumar</v>
      </c>
      <c r="Z190" s="0" t="str">
        <f aca="false">IF(T190&lt;P190,"BeforeTime",IF(T190=P190,"Intime","Late"))</f>
        <v>Intime</v>
      </c>
      <c r="AA190" s="0" t="str">
        <f aca="false">TEXT(J190,"mmm")</f>
        <v>Mar</v>
      </c>
      <c r="AB190" s="0" t="e">
        <f aca="false">xlookup(L190,Products!A:A,Products!B:B,"")</f>
        <v>#NAME?</v>
      </c>
    </row>
    <row r="191" customFormat="false" ht="15" hidden="false" customHeight="false" outlineLevel="0" collapsed="false">
      <c r="A191" s="0" t="s">
        <v>305</v>
      </c>
      <c r="B191" s="0" t="s">
        <v>57</v>
      </c>
      <c r="C191" s="0" t="s">
        <v>261</v>
      </c>
      <c r="D191" s="0" t="n">
        <v>52</v>
      </c>
      <c r="E191" s="0" t="s">
        <v>36</v>
      </c>
      <c r="F191" s="0" t="s">
        <v>160</v>
      </c>
      <c r="G191" s="0" t="s">
        <v>1072</v>
      </c>
      <c r="H191" s="0" t="s">
        <v>1073</v>
      </c>
      <c r="I191" s="0" t="s">
        <v>1074</v>
      </c>
      <c r="J191" s="4" t="n">
        <v>45724</v>
      </c>
      <c r="K191" s="0" t="s">
        <v>1075</v>
      </c>
      <c r="L191" s="0" t="s">
        <v>129</v>
      </c>
      <c r="M191" s="5" t="n">
        <v>2999</v>
      </c>
      <c r="N191" s="0" t="n">
        <v>1</v>
      </c>
      <c r="O191" s="0" t="s">
        <v>101</v>
      </c>
      <c r="P191" s="0" t="n">
        <v>3</v>
      </c>
      <c r="Q191" s="5" t="n">
        <v>60</v>
      </c>
      <c r="R191" s="4" t="n">
        <v>45727</v>
      </c>
      <c r="S191" s="0" t="s">
        <v>342</v>
      </c>
      <c r="T191" s="0" t="n">
        <f aca="false">R191-J191</f>
        <v>3</v>
      </c>
      <c r="U191" s="5" t="n">
        <f aca="false">M191*N191</f>
        <v>2999</v>
      </c>
      <c r="V191" s="6" t="n">
        <f aca="false">IF(O191="FLAT5",5%,IF(O191="FLAT10",10%,IF(O191="FLAT15",15%,IF(O191="FLAT20",20%,0))))</f>
        <v>0.15</v>
      </c>
      <c r="W191" s="5" t="n">
        <f aca="false">U191*(1-V191)</f>
        <v>2549.15</v>
      </c>
      <c r="X191" s="5" t="n">
        <f aca="false">W191+IF(O191="DEL0",0,Q191)</f>
        <v>2609.15</v>
      </c>
      <c r="Y191" s="0" t="str">
        <f aca="false">B191&amp;" "&amp;C191</f>
        <v>Arjun Kumar</v>
      </c>
      <c r="Z191" s="0" t="str">
        <f aca="false">IF(T191&lt;P191,"BeforeTime",IF(T191=P191,"Intime","Late"))</f>
        <v>Intime</v>
      </c>
      <c r="AA191" s="0" t="str">
        <f aca="false">TEXT(J191,"mmm")</f>
        <v>Mar</v>
      </c>
      <c r="AB191" s="0" t="e">
        <f aca="false">xlookup(L191,Products!A:A,Products!B:B,"")</f>
        <v>#NAME?</v>
      </c>
    </row>
    <row r="192" customFormat="false" ht="15" hidden="false" customHeight="false" outlineLevel="0" collapsed="false">
      <c r="A192" s="0" t="s">
        <v>361</v>
      </c>
      <c r="B192" s="0" t="s">
        <v>57</v>
      </c>
      <c r="C192" s="0" t="s">
        <v>47</v>
      </c>
      <c r="D192" s="0" t="n">
        <v>28</v>
      </c>
      <c r="E192" s="0" t="s">
        <v>36</v>
      </c>
      <c r="F192" s="0" t="s">
        <v>262</v>
      </c>
      <c r="G192" s="0" t="s">
        <v>1076</v>
      </c>
      <c r="H192" s="0" t="s">
        <v>1077</v>
      </c>
      <c r="I192" s="0" t="s">
        <v>1078</v>
      </c>
      <c r="J192" s="4" t="n">
        <v>45818</v>
      </c>
      <c r="K192" s="0" t="s">
        <v>1079</v>
      </c>
      <c r="L192" s="0" t="s">
        <v>129</v>
      </c>
      <c r="M192" s="5" t="n">
        <v>2999</v>
      </c>
      <c r="N192" s="0" t="n">
        <v>2</v>
      </c>
      <c r="O192" s="0" t="s">
        <v>101</v>
      </c>
      <c r="P192" s="0" t="n">
        <v>5</v>
      </c>
      <c r="Q192" s="5" t="n">
        <v>50</v>
      </c>
      <c r="R192" s="4" t="n">
        <v>45821</v>
      </c>
      <c r="S192" s="0" t="s">
        <v>890</v>
      </c>
      <c r="T192" s="0" t="n">
        <f aca="false">R192-J192</f>
        <v>3</v>
      </c>
      <c r="U192" s="5" t="n">
        <f aca="false">M192*N192</f>
        <v>5998</v>
      </c>
      <c r="V192" s="6" t="n">
        <f aca="false">IF(O192="FLAT5",5%,IF(O192="FLAT10",10%,IF(O192="FLAT15",15%,IF(O192="FLAT20",20%,0))))</f>
        <v>0.15</v>
      </c>
      <c r="W192" s="5" t="n">
        <f aca="false">U192*(1-V192)</f>
        <v>5098.3</v>
      </c>
      <c r="X192" s="5" t="n">
        <f aca="false">W192+IF(O192="DEL0",0,Q192)</f>
        <v>5148.3</v>
      </c>
      <c r="Y192" s="0" t="str">
        <f aca="false">B192&amp;" "&amp;C192</f>
        <v>Arjun Verma</v>
      </c>
      <c r="Z192" s="0" t="str">
        <f aca="false">IF(T192&lt;P192,"BeforeTime",IF(T192=P192,"Intime","Late"))</f>
        <v>BeforeTime</v>
      </c>
      <c r="AA192" s="0" t="str">
        <f aca="false">TEXT(J192,"mmm")</f>
        <v>Jun</v>
      </c>
      <c r="AB192" s="0" t="e">
        <f aca="false">xlookup(L192,Products!A:A,Products!B:B,"")</f>
        <v>#NAME?</v>
      </c>
    </row>
    <row r="193" customFormat="false" ht="15" hidden="false" customHeight="false" outlineLevel="0" collapsed="false">
      <c r="A193" s="0" t="s">
        <v>657</v>
      </c>
      <c r="B193" s="0" t="s">
        <v>582</v>
      </c>
      <c r="C193" s="0" t="s">
        <v>368</v>
      </c>
      <c r="D193" s="0" t="n">
        <v>58</v>
      </c>
      <c r="E193" s="0" t="s">
        <v>36</v>
      </c>
      <c r="F193" s="0" t="s">
        <v>37</v>
      </c>
      <c r="G193" s="0" t="s">
        <v>1080</v>
      </c>
      <c r="H193" s="0" t="s">
        <v>1081</v>
      </c>
      <c r="I193" s="0" t="s">
        <v>1082</v>
      </c>
      <c r="J193" s="4" t="n">
        <v>45785</v>
      </c>
      <c r="K193" s="0" t="s">
        <v>1083</v>
      </c>
      <c r="L193" s="0" t="s">
        <v>391</v>
      </c>
      <c r="M193" s="5" t="n">
        <v>3499</v>
      </c>
      <c r="N193" s="0" t="n">
        <v>2</v>
      </c>
      <c r="O193" s="0" t="s">
        <v>83</v>
      </c>
      <c r="P193" s="0" t="n">
        <v>4</v>
      </c>
      <c r="Q193" s="5" t="n">
        <v>40</v>
      </c>
      <c r="R193" s="4" t="n">
        <v>45789</v>
      </c>
      <c r="S193" s="0" t="s">
        <v>1084</v>
      </c>
      <c r="T193" s="0" t="n">
        <f aca="false">R193-J193</f>
        <v>4</v>
      </c>
      <c r="U193" s="5" t="n">
        <f aca="false">M193*N193</f>
        <v>6998</v>
      </c>
      <c r="V193" s="6" t="n">
        <f aca="false">IF(O193="FLAT5",5%,IF(O193="FLAT10",10%,IF(O193="FLAT15",15%,IF(O193="FLAT20",20%,0))))</f>
        <v>0.05</v>
      </c>
      <c r="W193" s="5" t="n">
        <f aca="false">U193*(1-V193)</f>
        <v>6648.1</v>
      </c>
      <c r="X193" s="5" t="n">
        <f aca="false">W193+IF(O193="DEL0",0,Q193)</f>
        <v>6688.1</v>
      </c>
      <c r="Y193" s="0" t="str">
        <f aca="false">B193&amp;" "&amp;C193</f>
        <v>Kavya Das</v>
      </c>
      <c r="Z193" s="0" t="str">
        <f aca="false">IF(T193&lt;P193,"BeforeTime",IF(T193=P193,"Intime","Late"))</f>
        <v>Intime</v>
      </c>
      <c r="AA193" s="0" t="str">
        <f aca="false">TEXT(J193,"mmm")</f>
        <v>May</v>
      </c>
      <c r="AB193" s="0" t="e">
        <f aca="false">xlookup(L193,Products!A:A,Products!B:B,"")</f>
        <v>#NAME?</v>
      </c>
    </row>
    <row r="194" customFormat="false" ht="15" hidden="false" customHeight="false" outlineLevel="0" collapsed="false">
      <c r="A194" s="0" t="s">
        <v>1085</v>
      </c>
      <c r="B194" s="0" t="s">
        <v>394</v>
      </c>
      <c r="C194" s="0" t="s">
        <v>123</v>
      </c>
      <c r="D194" s="0" t="n">
        <v>26</v>
      </c>
      <c r="E194" s="0" t="s">
        <v>48</v>
      </c>
      <c r="F194" s="0" t="s">
        <v>140</v>
      </c>
      <c r="G194" s="0" t="s">
        <v>1086</v>
      </c>
      <c r="H194" s="0" t="s">
        <v>1087</v>
      </c>
      <c r="I194" s="0" t="s">
        <v>1088</v>
      </c>
      <c r="J194" s="4" t="n">
        <v>45771</v>
      </c>
      <c r="K194" s="0" t="s">
        <v>1089</v>
      </c>
      <c r="L194" s="0" t="s">
        <v>42</v>
      </c>
      <c r="M194" s="5" t="n">
        <v>2199</v>
      </c>
      <c r="N194" s="0" t="n">
        <v>1</v>
      </c>
      <c r="O194" s="0" t="s">
        <v>83</v>
      </c>
      <c r="P194" s="0" t="n">
        <v>3</v>
      </c>
      <c r="Q194" s="5" t="n">
        <v>75</v>
      </c>
      <c r="R194" s="4" t="n">
        <v>45774</v>
      </c>
      <c r="S194" s="0" t="s">
        <v>1090</v>
      </c>
      <c r="T194" s="0" t="n">
        <f aca="false">R194-J194</f>
        <v>3</v>
      </c>
      <c r="U194" s="5" t="n">
        <f aca="false">M194*N194</f>
        <v>2199</v>
      </c>
      <c r="V194" s="6" t="n">
        <f aca="false">IF(O194="FLAT5",5%,IF(O194="FLAT10",10%,IF(O194="FLAT15",15%,IF(O194="FLAT20",20%,0))))</f>
        <v>0.05</v>
      </c>
      <c r="W194" s="5" t="n">
        <f aca="false">U194*(1-V194)</f>
        <v>2089.05</v>
      </c>
      <c r="X194" s="5" t="n">
        <f aca="false">W194+IF(O194="DEL0",0,Q194)</f>
        <v>2164.05</v>
      </c>
      <c r="Y194" s="0" t="str">
        <f aca="false">B194&amp;" "&amp;C194</f>
        <v>Kiran Nair</v>
      </c>
      <c r="Z194" s="0" t="str">
        <f aca="false">IF(T194&lt;P194,"BeforeTime",IF(T194=P194,"Intime","Late"))</f>
        <v>Intime</v>
      </c>
      <c r="AA194" s="0" t="str">
        <f aca="false">TEXT(J194,"mmm")</f>
        <v>Apr</v>
      </c>
      <c r="AB194" s="0" t="e">
        <f aca="false">xlookup(L194,Products!A:A,Products!B:B,"")</f>
        <v>#NAME?</v>
      </c>
    </row>
    <row r="195" customFormat="false" ht="15" hidden="false" customHeight="false" outlineLevel="0" collapsed="false">
      <c r="A195" s="0" t="s">
        <v>166</v>
      </c>
      <c r="B195" s="0" t="s">
        <v>57</v>
      </c>
      <c r="C195" s="0" t="s">
        <v>35</v>
      </c>
      <c r="D195" s="0" t="n">
        <v>24</v>
      </c>
      <c r="E195" s="0" t="s">
        <v>36</v>
      </c>
      <c r="F195" s="0" t="s">
        <v>248</v>
      </c>
      <c r="G195" s="0" t="s">
        <v>1091</v>
      </c>
      <c r="H195" s="0" t="s">
        <v>1092</v>
      </c>
      <c r="I195" s="0" t="s">
        <v>1093</v>
      </c>
      <c r="J195" s="4" t="n">
        <v>45827</v>
      </c>
      <c r="K195" s="0" t="s">
        <v>1094</v>
      </c>
      <c r="L195" s="0" t="s">
        <v>42</v>
      </c>
      <c r="M195" s="5" t="n">
        <v>2199</v>
      </c>
      <c r="N195" s="0" t="n">
        <v>1</v>
      </c>
      <c r="O195" s="0" t="s">
        <v>259</v>
      </c>
      <c r="P195" s="0" t="n">
        <v>2</v>
      </c>
      <c r="Q195" s="5" t="n">
        <v>75</v>
      </c>
      <c r="R195" s="4" t="n">
        <v>45828</v>
      </c>
      <c r="S195" s="0" t="s">
        <v>1095</v>
      </c>
      <c r="T195" s="0" t="n">
        <f aca="false">R195-J195</f>
        <v>1</v>
      </c>
      <c r="U195" s="5" t="n">
        <f aca="false">M195*N195</f>
        <v>2199</v>
      </c>
      <c r="V195" s="6" t="n">
        <f aca="false">IF(O195="FLAT5",5%,IF(O195="FLAT10",10%,IF(O195="FLAT15",15%,IF(O195="FLAT20",20%,0))))</f>
        <v>0</v>
      </c>
      <c r="W195" s="5" t="n">
        <f aca="false">U195*(1-V195)</f>
        <v>2199</v>
      </c>
      <c r="X195" s="5" t="n">
        <f aca="false">W195+IF(O195="DEL0",0,Q195)</f>
        <v>2274</v>
      </c>
      <c r="Y195" s="0" t="str">
        <f aca="false">B195&amp;" "&amp;C195</f>
        <v>Arjun Sharma</v>
      </c>
      <c r="Z195" s="0" t="str">
        <f aca="false">IF(T195&lt;P195,"BeforeTime",IF(T195=P195,"Intime","Late"))</f>
        <v>BeforeTime</v>
      </c>
      <c r="AA195" s="0" t="str">
        <f aca="false">TEXT(J195,"mmm")</f>
        <v>Jun</v>
      </c>
      <c r="AB195" s="0" t="e">
        <f aca="false">xlookup(L195,Products!A:A,Products!B:B,"")</f>
        <v>#NAME?</v>
      </c>
    </row>
    <row r="196" customFormat="false" ht="15" hidden="false" customHeight="false" outlineLevel="0" collapsed="false">
      <c r="A196" s="0" t="s">
        <v>481</v>
      </c>
      <c r="B196" s="0" t="s">
        <v>147</v>
      </c>
      <c r="C196" s="0" t="s">
        <v>35</v>
      </c>
      <c r="D196" s="0" t="n">
        <v>44</v>
      </c>
      <c r="E196" s="0" t="s">
        <v>48</v>
      </c>
      <c r="F196" s="0" t="s">
        <v>262</v>
      </c>
      <c r="G196" s="0" t="s">
        <v>1096</v>
      </c>
      <c r="H196" s="0" t="s">
        <v>1097</v>
      </c>
      <c r="I196" s="0" t="s">
        <v>1098</v>
      </c>
      <c r="J196" s="4" t="n">
        <v>45798</v>
      </c>
      <c r="K196" s="0" t="s">
        <v>1099</v>
      </c>
      <c r="L196" s="0" t="s">
        <v>391</v>
      </c>
      <c r="M196" s="5" t="n">
        <v>3499</v>
      </c>
      <c r="N196" s="0" t="n">
        <v>2</v>
      </c>
      <c r="O196" s="0" t="s">
        <v>259</v>
      </c>
      <c r="P196" s="0" t="n">
        <v>4</v>
      </c>
      <c r="Q196" s="5" t="n">
        <v>50</v>
      </c>
      <c r="R196" s="4" t="n">
        <v>45802</v>
      </c>
      <c r="S196" s="0" t="s">
        <v>1100</v>
      </c>
      <c r="T196" s="0" t="n">
        <f aca="false">R196-J196</f>
        <v>4</v>
      </c>
      <c r="U196" s="5" t="n">
        <f aca="false">M196*N196</f>
        <v>6998</v>
      </c>
      <c r="V196" s="6" t="n">
        <f aca="false">IF(O196="FLAT5",5%,IF(O196="FLAT10",10%,IF(O196="FLAT15",15%,IF(O196="FLAT20",20%,0))))</f>
        <v>0</v>
      </c>
      <c r="W196" s="5" t="n">
        <f aca="false">U196*(1-V196)</f>
        <v>6998</v>
      </c>
      <c r="X196" s="5" t="n">
        <f aca="false">W196+IF(O196="DEL0",0,Q196)</f>
        <v>7048</v>
      </c>
      <c r="Y196" s="0" t="str">
        <f aca="false">B196&amp;" "&amp;C196</f>
        <v>Pooja Sharma</v>
      </c>
      <c r="Z196" s="0" t="str">
        <f aca="false">IF(T196&lt;P196,"BeforeTime",IF(T196=P196,"Intime","Late"))</f>
        <v>Intime</v>
      </c>
      <c r="AA196" s="0" t="str">
        <f aca="false">TEXT(J196,"mmm")</f>
        <v>May</v>
      </c>
      <c r="AB196" s="0" t="e">
        <f aca="false">xlookup(L196,Products!A:A,Products!B:B,"")</f>
        <v>#NAME?</v>
      </c>
    </row>
    <row r="197" customFormat="false" ht="15" hidden="false" customHeight="false" outlineLevel="0" collapsed="false">
      <c r="A197" s="0" t="s">
        <v>1016</v>
      </c>
      <c r="B197" s="0" t="s">
        <v>147</v>
      </c>
      <c r="C197" s="0" t="s">
        <v>95</v>
      </c>
      <c r="D197" s="0" t="n">
        <v>55</v>
      </c>
      <c r="E197" s="0" t="s">
        <v>48</v>
      </c>
      <c r="F197" s="0" t="s">
        <v>202</v>
      </c>
      <c r="G197" s="0" t="s">
        <v>1101</v>
      </c>
      <c r="H197" s="0" t="s">
        <v>1102</v>
      </c>
      <c r="I197" s="0" t="s">
        <v>1103</v>
      </c>
      <c r="J197" s="4" t="n">
        <v>45872</v>
      </c>
      <c r="K197" s="0" t="s">
        <v>1104</v>
      </c>
      <c r="L197" s="0" t="s">
        <v>129</v>
      </c>
      <c r="M197" s="5" t="n">
        <v>2999</v>
      </c>
      <c r="N197" s="0" t="n">
        <v>3</v>
      </c>
      <c r="O197" s="0" t="s">
        <v>91</v>
      </c>
      <c r="P197" s="0" t="n">
        <v>3</v>
      </c>
      <c r="Q197" s="5" t="n">
        <v>90</v>
      </c>
      <c r="R197" s="4" t="n">
        <v>45875</v>
      </c>
      <c r="S197" s="0" t="s">
        <v>247</v>
      </c>
      <c r="T197" s="0" t="n">
        <f aca="false">R197-J197</f>
        <v>3</v>
      </c>
      <c r="U197" s="5" t="n">
        <f aca="false">M197*N197</f>
        <v>8997</v>
      </c>
      <c r="V197" s="6" t="n">
        <f aca="false">IF(O197="FLAT5",5%,IF(O197="FLAT10",10%,IF(O197="FLAT15",15%,IF(O197="FLAT20",20%,0))))</f>
        <v>0.1</v>
      </c>
      <c r="W197" s="5" t="n">
        <f aca="false">U197*(1-V197)</f>
        <v>8097.3</v>
      </c>
      <c r="X197" s="5" t="n">
        <f aca="false">W197+IF(O197="DEL0",0,Q197)</f>
        <v>8187.3</v>
      </c>
      <c r="Y197" s="0" t="str">
        <f aca="false">B197&amp;" "&amp;C197</f>
        <v>Pooja Mishra</v>
      </c>
      <c r="Z197" s="0" t="str">
        <f aca="false">IF(T197&lt;P197,"BeforeTime",IF(T197=P197,"Intime","Late"))</f>
        <v>Intime</v>
      </c>
      <c r="AA197" s="0" t="str">
        <f aca="false">TEXT(J197,"mmm")</f>
        <v>Aug</v>
      </c>
      <c r="AB197" s="0" t="e">
        <f aca="false">xlookup(L197,Products!A:A,Products!B:B,"")</f>
        <v>#NAME?</v>
      </c>
    </row>
    <row r="198" customFormat="false" ht="15" hidden="false" customHeight="false" outlineLevel="0" collapsed="false">
      <c r="A198" s="0" t="s">
        <v>33</v>
      </c>
      <c r="B198" s="0" t="s">
        <v>67</v>
      </c>
      <c r="C198" s="0" t="s">
        <v>167</v>
      </c>
      <c r="D198" s="0" t="n">
        <v>54</v>
      </c>
      <c r="E198" s="0" t="s">
        <v>48</v>
      </c>
      <c r="F198" s="0" t="s">
        <v>59</v>
      </c>
      <c r="G198" s="0" t="s">
        <v>1105</v>
      </c>
      <c r="H198" s="0" t="s">
        <v>1018</v>
      </c>
      <c r="I198" s="0" t="s">
        <v>1106</v>
      </c>
      <c r="J198" s="4" t="n">
        <v>45750</v>
      </c>
      <c r="K198" s="0" t="s">
        <v>1107</v>
      </c>
      <c r="L198" s="0" t="s">
        <v>64</v>
      </c>
      <c r="M198" s="5" t="n">
        <v>2799</v>
      </c>
      <c r="N198" s="0" t="n">
        <v>3</v>
      </c>
      <c r="O198" s="0" t="s">
        <v>91</v>
      </c>
      <c r="P198" s="0" t="n">
        <v>2</v>
      </c>
      <c r="Q198" s="5" t="n">
        <v>50</v>
      </c>
      <c r="R198" s="4" t="n">
        <v>45752</v>
      </c>
      <c r="S198" s="0" t="s">
        <v>712</v>
      </c>
      <c r="T198" s="0" t="n">
        <f aca="false">R198-J198</f>
        <v>2</v>
      </c>
      <c r="U198" s="5" t="n">
        <f aca="false">M198*N198</f>
        <v>8397</v>
      </c>
      <c r="V198" s="6" t="n">
        <f aca="false">IF(O198="FLAT5",5%,IF(O198="FLAT10",10%,IF(O198="FLAT15",15%,IF(O198="FLAT20",20%,0))))</f>
        <v>0.1</v>
      </c>
      <c r="W198" s="5" t="n">
        <f aca="false">U198*(1-V198)</f>
        <v>7557.3</v>
      </c>
      <c r="X198" s="5" t="n">
        <f aca="false">W198+IF(O198="DEL0",0,Q198)</f>
        <v>7607.3</v>
      </c>
      <c r="Y198" s="0" t="str">
        <f aca="false">B198&amp;" "&amp;C198</f>
        <v>Priya Chowdhury</v>
      </c>
      <c r="Z198" s="0" t="str">
        <f aca="false">IF(T198&lt;P198,"BeforeTime",IF(T198=P198,"Intime","Late"))</f>
        <v>Intime</v>
      </c>
      <c r="AA198" s="0" t="str">
        <f aca="false">TEXT(J198,"mmm")</f>
        <v>Apr</v>
      </c>
      <c r="AB198" s="0" t="e">
        <f aca="false">xlookup(L198,Products!A:A,Products!B:B,"")</f>
        <v>#NAME?</v>
      </c>
    </row>
    <row r="199" customFormat="false" ht="15" hidden="false" customHeight="false" outlineLevel="0" collapsed="false">
      <c r="A199" s="0" t="s">
        <v>1108</v>
      </c>
      <c r="B199" s="0" t="s">
        <v>94</v>
      </c>
      <c r="C199" s="0" t="s">
        <v>123</v>
      </c>
      <c r="D199" s="0" t="n">
        <v>30</v>
      </c>
      <c r="E199" s="0" t="s">
        <v>36</v>
      </c>
      <c r="F199" s="0" t="s">
        <v>37</v>
      </c>
      <c r="G199" s="0" t="s">
        <v>1109</v>
      </c>
      <c r="H199" s="0" t="s">
        <v>1110</v>
      </c>
      <c r="I199" s="0" t="s">
        <v>1111</v>
      </c>
      <c r="J199" s="4" t="n">
        <v>45686</v>
      </c>
      <c r="K199" s="0" t="s">
        <v>1112</v>
      </c>
      <c r="L199" s="0" t="s">
        <v>119</v>
      </c>
      <c r="M199" s="5" t="n">
        <v>899</v>
      </c>
      <c r="N199" s="0" t="n">
        <v>2</v>
      </c>
      <c r="O199" s="0" t="s">
        <v>91</v>
      </c>
      <c r="P199" s="0" t="n">
        <v>3</v>
      </c>
      <c r="Q199" s="5" t="n">
        <v>75</v>
      </c>
      <c r="R199" s="4" t="n">
        <v>45689</v>
      </c>
      <c r="S199" s="0" t="s">
        <v>1113</v>
      </c>
      <c r="T199" s="0" t="n">
        <f aca="false">R199-J199</f>
        <v>3</v>
      </c>
      <c r="U199" s="5" t="n">
        <f aca="false">M199*N199</f>
        <v>1798</v>
      </c>
      <c r="V199" s="6" t="n">
        <f aca="false">IF(O199="FLAT5",5%,IF(O199="FLAT10",10%,IF(O199="FLAT15",15%,IF(O199="FLAT20",20%,0))))</f>
        <v>0.1</v>
      </c>
      <c r="W199" s="5" t="n">
        <f aca="false">U199*(1-V199)</f>
        <v>1618.2</v>
      </c>
      <c r="X199" s="5" t="n">
        <f aca="false">W199+IF(O199="DEL0",0,Q199)</f>
        <v>1693.2</v>
      </c>
      <c r="Y199" s="0" t="str">
        <f aca="false">B199&amp;" "&amp;C199</f>
        <v>Manoj Nair</v>
      </c>
      <c r="Z199" s="0" t="str">
        <f aca="false">IF(T199&lt;P199,"BeforeTime",IF(T199=P199,"Intime","Late"))</f>
        <v>Intime</v>
      </c>
      <c r="AA199" s="0" t="str">
        <f aca="false">TEXT(J199,"mmm")</f>
        <v>Jan</v>
      </c>
      <c r="AB199" s="0" t="e">
        <f aca="false">xlookup(L199,Products!A:A,Products!B:B,"")</f>
        <v>#NAME?</v>
      </c>
    </row>
    <row r="200" customFormat="false" ht="15" hidden="false" customHeight="false" outlineLevel="0" collapsed="false">
      <c r="A200" s="0" t="s">
        <v>507</v>
      </c>
      <c r="B200" s="0" t="s">
        <v>67</v>
      </c>
      <c r="C200" s="0" t="s">
        <v>35</v>
      </c>
      <c r="D200" s="0" t="n">
        <v>42</v>
      </c>
      <c r="E200" s="0" t="s">
        <v>36</v>
      </c>
      <c r="F200" s="0" t="s">
        <v>124</v>
      </c>
      <c r="G200" s="0" t="s">
        <v>1114</v>
      </c>
      <c r="H200" s="0" t="s">
        <v>1115</v>
      </c>
      <c r="I200" s="0" t="s">
        <v>1116</v>
      </c>
      <c r="J200" s="4" t="n">
        <v>45747</v>
      </c>
      <c r="K200" s="0" t="s">
        <v>1117</v>
      </c>
      <c r="L200" s="0" t="s">
        <v>100</v>
      </c>
      <c r="M200" s="5" t="n">
        <v>999</v>
      </c>
      <c r="N200" s="0" t="n">
        <v>4</v>
      </c>
      <c r="O200" s="0" t="s">
        <v>101</v>
      </c>
      <c r="P200" s="0" t="n">
        <v>5</v>
      </c>
      <c r="Q200" s="5" t="n">
        <v>50</v>
      </c>
      <c r="R200" s="4" t="n">
        <v>45748</v>
      </c>
      <c r="S200" s="0" t="s">
        <v>1118</v>
      </c>
      <c r="T200" s="0" t="n">
        <f aca="false">R200-J200</f>
        <v>1</v>
      </c>
      <c r="U200" s="5" t="n">
        <f aca="false">M200*N200</f>
        <v>3996</v>
      </c>
      <c r="V200" s="6" t="n">
        <f aca="false">IF(O200="FLAT5",5%,IF(O200="FLAT10",10%,IF(O200="FLAT15",15%,IF(O200="FLAT20",20%,0))))</f>
        <v>0.15</v>
      </c>
      <c r="W200" s="5" t="n">
        <f aca="false">U200*(1-V200)</f>
        <v>3396.6</v>
      </c>
      <c r="X200" s="5" t="n">
        <f aca="false">W200+IF(O200="DEL0",0,Q200)</f>
        <v>3446.6</v>
      </c>
      <c r="Y200" s="0" t="str">
        <f aca="false">B200&amp;" "&amp;C200</f>
        <v>Priya Sharma</v>
      </c>
      <c r="Z200" s="0" t="str">
        <f aca="false">IF(T200&lt;P200,"BeforeTime",IF(T200=P200,"Intime","Late"))</f>
        <v>BeforeTime</v>
      </c>
      <c r="AA200" s="0" t="str">
        <f aca="false">TEXT(J200,"mmm")</f>
        <v>Mar</v>
      </c>
      <c r="AB200" s="0" t="e">
        <f aca="false">xlookup(L200,Products!A:A,Products!B:B,"")</f>
        <v>#NAME?</v>
      </c>
    </row>
    <row r="201" customFormat="false" ht="15" hidden="false" customHeight="false" outlineLevel="0" collapsed="false">
      <c r="A201" s="0" t="s">
        <v>355</v>
      </c>
      <c r="B201" s="0" t="s">
        <v>104</v>
      </c>
      <c r="C201" s="0" t="s">
        <v>47</v>
      </c>
      <c r="D201" s="0" t="n">
        <v>28</v>
      </c>
      <c r="E201" s="0" t="s">
        <v>48</v>
      </c>
      <c r="F201" s="0" t="s">
        <v>262</v>
      </c>
      <c r="G201" s="0" t="s">
        <v>1119</v>
      </c>
      <c r="H201" s="0" t="s">
        <v>629</v>
      </c>
      <c r="I201" s="0" t="s">
        <v>1120</v>
      </c>
      <c r="J201" s="4" t="n">
        <v>45958</v>
      </c>
      <c r="K201" s="0" t="s">
        <v>760</v>
      </c>
      <c r="L201" s="0" t="s">
        <v>391</v>
      </c>
      <c r="M201" s="5" t="n">
        <v>3499</v>
      </c>
      <c r="N201" s="0" t="n">
        <v>1</v>
      </c>
      <c r="O201" s="0" t="s">
        <v>83</v>
      </c>
      <c r="P201" s="0" t="n">
        <v>7</v>
      </c>
      <c r="Q201" s="5" t="n">
        <v>90</v>
      </c>
      <c r="R201" s="4" t="n">
        <v>45966</v>
      </c>
      <c r="S201" s="0" t="s">
        <v>699</v>
      </c>
      <c r="T201" s="0" t="n">
        <f aca="false">R201-J201</f>
        <v>8</v>
      </c>
      <c r="U201" s="5" t="n">
        <f aca="false">M201*N201</f>
        <v>3499</v>
      </c>
      <c r="V201" s="6" t="n">
        <f aca="false">IF(O201="FLAT5",5%,IF(O201="FLAT10",10%,IF(O201="FLAT15",15%,IF(O201="FLAT20",20%,0))))</f>
        <v>0.05</v>
      </c>
      <c r="W201" s="5" t="n">
        <f aca="false">U201*(1-V201)</f>
        <v>3324.05</v>
      </c>
      <c r="X201" s="5" t="n">
        <f aca="false">W201+IF(O201="DEL0",0,Q201)</f>
        <v>3414.05</v>
      </c>
      <c r="Y201" s="0" t="str">
        <f aca="false">B201&amp;" "&amp;C201</f>
        <v>Keerthi Verma</v>
      </c>
      <c r="Z201" s="0" t="str">
        <f aca="false">IF(T201&lt;P201,"BeforeTime",IF(T201=P201,"Intime","Late"))</f>
        <v>Late</v>
      </c>
      <c r="AA201" s="0" t="str">
        <f aca="false">TEXT(J201,"mmm")</f>
        <v>Oct</v>
      </c>
      <c r="AB201" s="0" t="e">
        <f aca="false">xlookup(L201,Products!A:A,Products!B:B,"")</f>
        <v>#NAME?</v>
      </c>
    </row>
    <row r="202" customFormat="false" ht="15" hidden="false" customHeight="false" outlineLevel="0" collapsed="false">
      <c r="A202" s="0" t="s">
        <v>1121</v>
      </c>
      <c r="B202" s="0" t="s">
        <v>94</v>
      </c>
      <c r="C202" s="0" t="s">
        <v>261</v>
      </c>
      <c r="D202" s="0" t="n">
        <v>41</v>
      </c>
      <c r="E202" s="0" t="s">
        <v>48</v>
      </c>
      <c r="F202" s="0" t="s">
        <v>59</v>
      </c>
      <c r="G202" s="0" t="s">
        <v>1122</v>
      </c>
      <c r="H202" s="0" t="s">
        <v>1123</v>
      </c>
      <c r="I202" s="0" t="s">
        <v>1124</v>
      </c>
      <c r="J202" s="4" t="n">
        <v>45881</v>
      </c>
      <c r="K202" s="0" t="s">
        <v>1125</v>
      </c>
      <c r="L202" s="0" t="s">
        <v>42</v>
      </c>
      <c r="M202" s="5" t="n">
        <v>2199</v>
      </c>
      <c r="N202" s="0" t="n">
        <v>2</v>
      </c>
      <c r="O202" s="0" t="s">
        <v>54</v>
      </c>
      <c r="P202" s="0" t="n">
        <v>7</v>
      </c>
      <c r="Q202" s="5" t="n">
        <v>0</v>
      </c>
      <c r="R202" s="4" t="n">
        <v>45891</v>
      </c>
      <c r="S202" s="0" t="s">
        <v>1126</v>
      </c>
      <c r="T202" s="0" t="n">
        <f aca="false">R202-J202</f>
        <v>10</v>
      </c>
      <c r="U202" s="5" t="n">
        <f aca="false">M202*N202</f>
        <v>4398</v>
      </c>
      <c r="V202" s="6" t="n">
        <f aca="false">IF(O202="FLAT5",5%,IF(O202="FLAT10",10%,IF(O202="FLAT15",15%,IF(O202="FLAT20",20%,0))))</f>
        <v>0</v>
      </c>
      <c r="W202" s="5" t="n">
        <f aca="false">U202*(1-V202)</f>
        <v>4398</v>
      </c>
      <c r="X202" s="5" t="n">
        <f aca="false">W202+IF(O202="DEL0",0,Q202)</f>
        <v>4398</v>
      </c>
      <c r="Y202" s="0" t="str">
        <f aca="false">B202&amp;" "&amp;C202</f>
        <v>Manoj Kumar</v>
      </c>
      <c r="Z202" s="0" t="str">
        <f aca="false">IF(T202&lt;P202,"BeforeTime",IF(T202=P202,"Intime","Late"))</f>
        <v>Late</v>
      </c>
      <c r="AA202" s="0" t="str">
        <f aca="false">TEXT(J202,"mmm")</f>
        <v>Aug</v>
      </c>
      <c r="AB202" s="0" t="e">
        <f aca="false">xlookup(L202,Products!A:A,Products!B:B,"")</f>
        <v>#NAME?</v>
      </c>
    </row>
    <row r="203" customFormat="false" ht="15" hidden="false" customHeight="false" outlineLevel="0" collapsed="false">
      <c r="A203" s="0" t="s">
        <v>481</v>
      </c>
      <c r="B203" s="0" t="s">
        <v>67</v>
      </c>
      <c r="C203" s="0" t="s">
        <v>123</v>
      </c>
      <c r="D203" s="0" t="n">
        <v>57</v>
      </c>
      <c r="E203" s="0" t="s">
        <v>36</v>
      </c>
      <c r="F203" s="0" t="s">
        <v>160</v>
      </c>
      <c r="G203" s="0" t="s">
        <v>1127</v>
      </c>
      <c r="H203" s="0" t="s">
        <v>1128</v>
      </c>
      <c r="I203" s="0" t="s">
        <v>1129</v>
      </c>
      <c r="J203" s="4" t="n">
        <v>45658</v>
      </c>
      <c r="K203" s="0" t="s">
        <v>1090</v>
      </c>
      <c r="L203" s="0" t="s">
        <v>72</v>
      </c>
      <c r="M203" s="5" t="n">
        <v>1299</v>
      </c>
      <c r="N203" s="0" t="n">
        <v>3</v>
      </c>
      <c r="O203" s="0" t="s">
        <v>83</v>
      </c>
      <c r="P203" s="0" t="n">
        <v>7</v>
      </c>
      <c r="Q203" s="5" t="n">
        <v>90</v>
      </c>
      <c r="R203" s="4" t="n">
        <v>45669</v>
      </c>
      <c r="S203" s="0" t="s">
        <v>137</v>
      </c>
      <c r="T203" s="0" t="n">
        <f aca="false">R203-J203</f>
        <v>11</v>
      </c>
      <c r="U203" s="5" t="n">
        <f aca="false">M203*N203</f>
        <v>3897</v>
      </c>
      <c r="V203" s="6" t="n">
        <f aca="false">IF(O203="FLAT5",5%,IF(O203="FLAT10",10%,IF(O203="FLAT15",15%,IF(O203="FLAT20",20%,0))))</f>
        <v>0.05</v>
      </c>
      <c r="W203" s="5" t="n">
        <f aca="false">U203*(1-V203)</f>
        <v>3702.15</v>
      </c>
      <c r="X203" s="5" t="n">
        <f aca="false">W203+IF(O203="DEL0",0,Q203)</f>
        <v>3792.15</v>
      </c>
      <c r="Y203" s="0" t="str">
        <f aca="false">B203&amp;" "&amp;C203</f>
        <v>Priya Nair</v>
      </c>
      <c r="Z203" s="0" t="str">
        <f aca="false">IF(T203&lt;P203,"BeforeTime",IF(T203=P203,"Intime","Late"))</f>
        <v>Late</v>
      </c>
      <c r="AA203" s="0" t="str">
        <f aca="false">TEXT(J203,"mmm")</f>
        <v>Jan</v>
      </c>
      <c r="AB203" s="0" t="e">
        <f aca="false">xlookup(L203,Products!A:A,Products!B:B,"")</f>
        <v>#NAME?</v>
      </c>
    </row>
    <row r="204" customFormat="false" ht="15" hidden="false" customHeight="false" outlineLevel="0" collapsed="false">
      <c r="A204" s="0" t="s">
        <v>1130</v>
      </c>
      <c r="B204" s="0" t="s">
        <v>94</v>
      </c>
      <c r="C204" s="0" t="s">
        <v>261</v>
      </c>
      <c r="D204" s="0" t="n">
        <v>51</v>
      </c>
      <c r="E204" s="0" t="s">
        <v>36</v>
      </c>
      <c r="F204" s="0" t="s">
        <v>59</v>
      </c>
      <c r="G204" s="0" t="s">
        <v>1131</v>
      </c>
      <c r="H204" s="0" t="s">
        <v>1132</v>
      </c>
      <c r="I204" s="0" t="s">
        <v>1133</v>
      </c>
      <c r="J204" s="4" t="n">
        <v>45821</v>
      </c>
      <c r="K204" s="0" t="s">
        <v>1134</v>
      </c>
      <c r="L204" s="0" t="s">
        <v>82</v>
      </c>
      <c r="M204" s="5" t="n">
        <v>1199</v>
      </c>
      <c r="N204" s="0" t="n">
        <v>1</v>
      </c>
      <c r="O204" s="0" t="s">
        <v>91</v>
      </c>
      <c r="P204" s="0" t="n">
        <v>3</v>
      </c>
      <c r="Q204" s="5" t="n">
        <v>40</v>
      </c>
      <c r="R204" s="4" t="n">
        <v>45824</v>
      </c>
      <c r="S204" s="0" t="s">
        <v>1135</v>
      </c>
      <c r="T204" s="0" t="n">
        <f aca="false">R204-J204</f>
        <v>3</v>
      </c>
      <c r="U204" s="5" t="n">
        <f aca="false">M204*N204</f>
        <v>1199</v>
      </c>
      <c r="V204" s="6" t="n">
        <f aca="false">IF(O204="FLAT5",5%,IF(O204="FLAT10",10%,IF(O204="FLAT15",15%,IF(O204="FLAT20",20%,0))))</f>
        <v>0.1</v>
      </c>
      <c r="W204" s="5" t="n">
        <f aca="false">U204*(1-V204)</f>
        <v>1079.1</v>
      </c>
      <c r="X204" s="5" t="n">
        <f aca="false">W204+IF(O204="DEL0",0,Q204)</f>
        <v>1119.1</v>
      </c>
      <c r="Y204" s="0" t="str">
        <f aca="false">B204&amp;" "&amp;C204</f>
        <v>Manoj Kumar</v>
      </c>
      <c r="Z204" s="0" t="str">
        <f aca="false">IF(T204&lt;P204,"BeforeTime",IF(T204=P204,"Intime","Late"))</f>
        <v>Intime</v>
      </c>
      <c r="AA204" s="0" t="str">
        <f aca="false">TEXT(J204,"mmm")</f>
        <v>Jun</v>
      </c>
      <c r="AB204" s="0" t="e">
        <f aca="false">xlookup(L204,Products!A:A,Products!B:B,"")</f>
        <v>#NAME?</v>
      </c>
    </row>
    <row r="205" customFormat="false" ht="15" hidden="false" customHeight="false" outlineLevel="0" collapsed="false">
      <c r="A205" s="0" t="s">
        <v>1136</v>
      </c>
      <c r="B205" s="0" t="s">
        <v>405</v>
      </c>
      <c r="C205" s="0" t="s">
        <v>76</v>
      </c>
      <c r="D205" s="0" t="n">
        <v>42</v>
      </c>
      <c r="E205" s="0" t="s">
        <v>48</v>
      </c>
      <c r="F205" s="0" t="s">
        <v>140</v>
      </c>
      <c r="G205" s="0" t="s">
        <v>1137</v>
      </c>
      <c r="H205" s="0" t="s">
        <v>1138</v>
      </c>
      <c r="I205" s="0" t="s">
        <v>1139</v>
      </c>
      <c r="J205" s="4" t="n">
        <v>45882</v>
      </c>
      <c r="K205" s="0" t="s">
        <v>1140</v>
      </c>
      <c r="L205" s="0" t="s">
        <v>82</v>
      </c>
      <c r="M205" s="5" t="n">
        <v>1199</v>
      </c>
      <c r="N205" s="0" t="n">
        <v>1</v>
      </c>
      <c r="O205" s="0" t="s">
        <v>83</v>
      </c>
      <c r="P205" s="0" t="n">
        <v>7</v>
      </c>
      <c r="Q205" s="5" t="n">
        <v>50</v>
      </c>
      <c r="R205" s="4" t="n">
        <v>45889</v>
      </c>
      <c r="S205" s="0" t="s">
        <v>1141</v>
      </c>
      <c r="T205" s="0" t="n">
        <f aca="false">R205-J205</f>
        <v>7</v>
      </c>
      <c r="U205" s="5" t="n">
        <f aca="false">M205*N205</f>
        <v>1199</v>
      </c>
      <c r="V205" s="6" t="n">
        <f aca="false">IF(O205="FLAT5",5%,IF(O205="FLAT10",10%,IF(O205="FLAT15",15%,IF(O205="FLAT20",20%,0))))</f>
        <v>0.05</v>
      </c>
      <c r="W205" s="5" t="n">
        <f aca="false">U205*(1-V205)</f>
        <v>1139.05</v>
      </c>
      <c r="X205" s="5" t="n">
        <f aca="false">W205+IF(O205="DEL0",0,Q205)</f>
        <v>1189.05</v>
      </c>
      <c r="Y205" s="0" t="str">
        <f aca="false">B205&amp;" "&amp;C205</f>
        <v>Sneha Patel</v>
      </c>
      <c r="Z205" s="0" t="str">
        <f aca="false">IF(T205&lt;P205,"BeforeTime",IF(T205=P205,"Intime","Late"))</f>
        <v>Intime</v>
      </c>
      <c r="AA205" s="0" t="str">
        <f aca="false">TEXT(J205,"mmm")</f>
        <v>Aug</v>
      </c>
      <c r="AB205" s="0" t="e">
        <f aca="false">xlookup(L205,Products!A:A,Products!B:B,"")</f>
        <v>#NAME?</v>
      </c>
    </row>
    <row r="206" customFormat="false" ht="15" hidden="false" customHeight="false" outlineLevel="0" collapsed="false">
      <c r="A206" s="0" t="s">
        <v>980</v>
      </c>
      <c r="B206" s="0" t="s">
        <v>34</v>
      </c>
      <c r="C206" s="0" t="s">
        <v>167</v>
      </c>
      <c r="D206" s="0" t="n">
        <v>56</v>
      </c>
      <c r="E206" s="0" t="s">
        <v>36</v>
      </c>
      <c r="F206" s="0" t="s">
        <v>262</v>
      </c>
      <c r="G206" s="0" t="s">
        <v>1142</v>
      </c>
      <c r="H206" s="0" t="s">
        <v>893</v>
      </c>
      <c r="I206" s="0" t="s">
        <v>1143</v>
      </c>
      <c r="J206" s="4" t="n">
        <v>45675</v>
      </c>
      <c r="K206" s="0" t="s">
        <v>1144</v>
      </c>
      <c r="L206" s="0" t="s">
        <v>53</v>
      </c>
      <c r="M206" s="5" t="n">
        <v>2499</v>
      </c>
      <c r="N206" s="0" t="n">
        <v>1</v>
      </c>
      <c r="O206" s="0" t="s">
        <v>54</v>
      </c>
      <c r="P206" s="0" t="n">
        <v>4</v>
      </c>
      <c r="Q206" s="5" t="n">
        <v>0</v>
      </c>
      <c r="R206" s="4" t="n">
        <v>45677</v>
      </c>
      <c r="S206" s="0" t="s">
        <v>1145</v>
      </c>
      <c r="T206" s="0" t="n">
        <f aca="false">R206-J206</f>
        <v>2</v>
      </c>
      <c r="U206" s="5" t="n">
        <f aca="false">M206*N206</f>
        <v>2499</v>
      </c>
      <c r="V206" s="6" t="n">
        <f aca="false">IF(O206="FLAT5",5%,IF(O206="FLAT10",10%,IF(O206="FLAT15",15%,IF(O206="FLAT20",20%,0))))</f>
        <v>0</v>
      </c>
      <c r="W206" s="5" t="n">
        <f aca="false">U206*(1-V206)</f>
        <v>2499</v>
      </c>
      <c r="X206" s="5" t="n">
        <f aca="false">W206+IF(O206="DEL0",0,Q206)</f>
        <v>2499</v>
      </c>
      <c r="Y206" s="0" t="str">
        <f aca="false">B206&amp;" "&amp;C206</f>
        <v>Diya Chowdhury</v>
      </c>
      <c r="Z206" s="0" t="str">
        <f aca="false">IF(T206&lt;P206,"BeforeTime",IF(T206=P206,"Intime","Late"))</f>
        <v>BeforeTime</v>
      </c>
      <c r="AA206" s="0" t="str">
        <f aca="false">TEXT(J206,"mmm")</f>
        <v>Jan</v>
      </c>
      <c r="AB206" s="0" t="e">
        <f aca="false">xlookup(L206,Products!A:A,Products!B:B,"")</f>
        <v>#NAME?</v>
      </c>
    </row>
    <row r="207" customFormat="false" ht="15" hidden="false" customHeight="false" outlineLevel="0" collapsed="false">
      <c r="A207" s="0" t="s">
        <v>1146</v>
      </c>
      <c r="B207" s="0" t="s">
        <v>57</v>
      </c>
      <c r="C207" s="0" t="s">
        <v>76</v>
      </c>
      <c r="D207" s="0" t="n">
        <v>41</v>
      </c>
      <c r="E207" s="0" t="s">
        <v>48</v>
      </c>
      <c r="F207" s="0" t="s">
        <v>202</v>
      </c>
      <c r="G207" s="0" t="s">
        <v>1147</v>
      </c>
      <c r="H207" s="0" t="s">
        <v>256</v>
      </c>
      <c r="I207" s="0" t="s">
        <v>1148</v>
      </c>
      <c r="J207" s="4" t="n">
        <v>45880</v>
      </c>
      <c r="K207" s="0" t="s">
        <v>90</v>
      </c>
      <c r="L207" s="0" t="s">
        <v>136</v>
      </c>
      <c r="M207" s="5" t="n">
        <v>1799</v>
      </c>
      <c r="N207" s="0" t="n">
        <v>2</v>
      </c>
      <c r="O207" s="0" t="s">
        <v>43</v>
      </c>
      <c r="P207" s="0" t="n">
        <v>3</v>
      </c>
      <c r="Q207" s="5" t="n">
        <v>50</v>
      </c>
      <c r="R207" s="4" t="n">
        <v>45882</v>
      </c>
      <c r="S207" s="0" t="s">
        <v>1149</v>
      </c>
      <c r="T207" s="0" t="n">
        <f aca="false">R207-J207</f>
        <v>2</v>
      </c>
      <c r="U207" s="5" t="n">
        <f aca="false">M207*N207</f>
        <v>3598</v>
      </c>
      <c r="V207" s="6" t="n">
        <f aca="false">IF(O207="FLAT5",5%,IF(O207="FLAT10",10%,IF(O207="FLAT15",15%,IF(O207="FLAT20",20%,0))))</f>
        <v>0.2</v>
      </c>
      <c r="W207" s="5" t="n">
        <f aca="false">U207*(1-V207)</f>
        <v>2878.4</v>
      </c>
      <c r="X207" s="5" t="n">
        <f aca="false">W207+IF(O207="DEL0",0,Q207)</f>
        <v>2928.4</v>
      </c>
      <c r="Y207" s="0" t="str">
        <f aca="false">B207&amp;" "&amp;C207</f>
        <v>Arjun Patel</v>
      </c>
      <c r="Z207" s="0" t="str">
        <f aca="false">IF(T207&lt;P207,"BeforeTime",IF(T207=P207,"Intime","Late"))</f>
        <v>BeforeTime</v>
      </c>
      <c r="AA207" s="0" t="str">
        <f aca="false">TEXT(J207,"mmm")</f>
        <v>Aug</v>
      </c>
      <c r="AB207" s="0" t="e">
        <f aca="false">xlookup(L207,Products!A:A,Products!B:B,"")</f>
        <v>#NAME?</v>
      </c>
    </row>
    <row r="208" customFormat="false" ht="15" hidden="false" customHeight="false" outlineLevel="0" collapsed="false">
      <c r="A208" s="0" t="s">
        <v>1150</v>
      </c>
      <c r="B208" s="0" t="s">
        <v>46</v>
      </c>
      <c r="C208" s="0" t="s">
        <v>181</v>
      </c>
      <c r="D208" s="0" t="n">
        <v>38</v>
      </c>
      <c r="E208" s="0" t="s">
        <v>48</v>
      </c>
      <c r="F208" s="0" t="s">
        <v>37</v>
      </c>
      <c r="G208" s="0" t="s">
        <v>1151</v>
      </c>
      <c r="H208" s="0" t="s">
        <v>1152</v>
      </c>
      <c r="I208" s="0" t="s">
        <v>1153</v>
      </c>
      <c r="J208" s="4" t="n">
        <v>45939</v>
      </c>
      <c r="K208" s="0" t="s">
        <v>1154</v>
      </c>
      <c r="L208" s="0" t="s">
        <v>129</v>
      </c>
      <c r="M208" s="5" t="n">
        <v>2999</v>
      </c>
      <c r="N208" s="0" t="n">
        <v>1</v>
      </c>
      <c r="O208" s="0" t="s">
        <v>91</v>
      </c>
      <c r="P208" s="0" t="n">
        <v>5</v>
      </c>
      <c r="Q208" s="5" t="n">
        <v>40</v>
      </c>
      <c r="R208" s="4" t="n">
        <v>45942</v>
      </c>
      <c r="S208" s="0" t="s">
        <v>1026</v>
      </c>
      <c r="T208" s="0" t="n">
        <f aca="false">R208-J208</f>
        <v>3</v>
      </c>
      <c r="U208" s="5" t="n">
        <f aca="false">M208*N208</f>
        <v>2999</v>
      </c>
      <c r="V208" s="6" t="n">
        <f aca="false">IF(O208="FLAT5",5%,IF(O208="FLAT10",10%,IF(O208="FLAT15",15%,IF(O208="FLAT20",20%,0))))</f>
        <v>0.1</v>
      </c>
      <c r="W208" s="5" t="n">
        <f aca="false">U208*(1-V208)</f>
        <v>2699.1</v>
      </c>
      <c r="X208" s="5" t="n">
        <f aca="false">W208+IF(O208="DEL0",0,Q208)</f>
        <v>2739.1</v>
      </c>
      <c r="Y208" s="0" t="str">
        <f aca="false">B208&amp;" "&amp;C208</f>
        <v>Sanjana Gupta</v>
      </c>
      <c r="Z208" s="0" t="str">
        <f aca="false">IF(T208&lt;P208,"BeforeTime",IF(T208=P208,"Intime","Late"))</f>
        <v>BeforeTime</v>
      </c>
      <c r="AA208" s="0" t="str">
        <f aca="false">TEXT(J208,"mmm")</f>
        <v>Oct</v>
      </c>
      <c r="AB208" s="0" t="e">
        <f aca="false">xlookup(L208,Products!A:A,Products!B:B,"")</f>
        <v>#NAME?</v>
      </c>
    </row>
    <row r="209" customFormat="false" ht="15" hidden="false" customHeight="false" outlineLevel="0" collapsed="false">
      <c r="A209" s="0" t="s">
        <v>380</v>
      </c>
      <c r="B209" s="0" t="s">
        <v>147</v>
      </c>
      <c r="C209" s="0" t="s">
        <v>47</v>
      </c>
      <c r="D209" s="0" t="n">
        <v>26</v>
      </c>
      <c r="E209" s="0" t="s">
        <v>36</v>
      </c>
      <c r="F209" s="0" t="s">
        <v>37</v>
      </c>
      <c r="G209" s="0" t="s">
        <v>1155</v>
      </c>
      <c r="H209" s="0" t="s">
        <v>1156</v>
      </c>
      <c r="I209" s="0" t="s">
        <v>1157</v>
      </c>
      <c r="J209" s="4" t="n">
        <v>45900</v>
      </c>
      <c r="K209" s="0" t="s">
        <v>1002</v>
      </c>
      <c r="L209" s="0" t="s">
        <v>42</v>
      </c>
      <c r="M209" s="5" t="n">
        <v>2199</v>
      </c>
      <c r="N209" s="0" t="n">
        <v>3</v>
      </c>
      <c r="O209" s="0" t="s">
        <v>259</v>
      </c>
      <c r="P209" s="0" t="n">
        <v>2</v>
      </c>
      <c r="Q209" s="5" t="n">
        <v>75</v>
      </c>
      <c r="R209" s="4" t="n">
        <v>45902</v>
      </c>
      <c r="S209" s="0" t="s">
        <v>1141</v>
      </c>
      <c r="T209" s="0" t="n">
        <f aca="false">R209-J209</f>
        <v>2</v>
      </c>
      <c r="U209" s="5" t="n">
        <f aca="false">M209*N209</f>
        <v>6597</v>
      </c>
      <c r="V209" s="6" t="n">
        <f aca="false">IF(O209="FLAT5",5%,IF(O209="FLAT10",10%,IF(O209="FLAT15",15%,IF(O209="FLAT20",20%,0))))</f>
        <v>0</v>
      </c>
      <c r="W209" s="5" t="n">
        <f aca="false">U209*(1-V209)</f>
        <v>6597</v>
      </c>
      <c r="X209" s="5" t="n">
        <f aca="false">W209+IF(O209="DEL0",0,Q209)</f>
        <v>6672</v>
      </c>
      <c r="Y209" s="0" t="str">
        <f aca="false">B209&amp;" "&amp;C209</f>
        <v>Pooja Verma</v>
      </c>
      <c r="Z209" s="0" t="str">
        <f aca="false">IF(T209&lt;P209,"BeforeTime",IF(T209=P209,"Intime","Late"))</f>
        <v>Intime</v>
      </c>
      <c r="AA209" s="0" t="str">
        <f aca="false">TEXT(J209,"mmm")</f>
        <v>Aug</v>
      </c>
      <c r="AB209" s="0" t="e">
        <f aca="false">xlookup(L209,Products!A:A,Products!B:B,"")</f>
        <v>#NAME?</v>
      </c>
    </row>
    <row r="210" customFormat="false" ht="15" hidden="false" customHeight="false" outlineLevel="0" collapsed="false">
      <c r="A210" s="0" t="s">
        <v>1158</v>
      </c>
      <c r="B210" s="0" t="s">
        <v>582</v>
      </c>
      <c r="C210" s="0" t="s">
        <v>417</v>
      </c>
      <c r="D210" s="0" t="n">
        <v>44</v>
      </c>
      <c r="E210" s="0" t="s">
        <v>48</v>
      </c>
      <c r="F210" s="0" t="s">
        <v>262</v>
      </c>
      <c r="G210" s="0" t="s">
        <v>1159</v>
      </c>
      <c r="H210" s="0" t="s">
        <v>1160</v>
      </c>
      <c r="I210" s="0" t="s">
        <v>1161</v>
      </c>
      <c r="J210" s="4" t="n">
        <v>45896</v>
      </c>
      <c r="K210" s="0" t="s">
        <v>480</v>
      </c>
      <c r="L210" s="0" t="s">
        <v>53</v>
      </c>
      <c r="M210" s="5" t="n">
        <v>2499</v>
      </c>
      <c r="N210" s="0" t="n">
        <v>1</v>
      </c>
      <c r="O210" s="0" t="s">
        <v>91</v>
      </c>
      <c r="P210" s="0" t="n">
        <v>4</v>
      </c>
      <c r="Q210" s="5" t="n">
        <v>60</v>
      </c>
      <c r="R210" s="4" t="n">
        <v>45900</v>
      </c>
      <c r="S210" s="0" t="s">
        <v>1162</v>
      </c>
      <c r="T210" s="0" t="n">
        <f aca="false">R210-J210</f>
        <v>4</v>
      </c>
      <c r="U210" s="5" t="n">
        <f aca="false">M210*N210</f>
        <v>2499</v>
      </c>
      <c r="V210" s="6" t="n">
        <f aca="false">IF(O210="FLAT5",5%,IF(O210="FLAT10",10%,IF(O210="FLAT15",15%,IF(O210="FLAT20",20%,0))))</f>
        <v>0.1</v>
      </c>
      <c r="W210" s="5" t="n">
        <f aca="false">U210*(1-V210)</f>
        <v>2249.1</v>
      </c>
      <c r="X210" s="5" t="n">
        <f aca="false">W210+IF(O210="DEL0",0,Q210)</f>
        <v>2309.1</v>
      </c>
      <c r="Y210" s="0" t="str">
        <f aca="false">B210&amp;" "&amp;C210</f>
        <v>Kavya Mehta</v>
      </c>
      <c r="Z210" s="0" t="str">
        <f aca="false">IF(T210&lt;P210,"BeforeTime",IF(T210=P210,"Intime","Late"))</f>
        <v>Intime</v>
      </c>
      <c r="AA210" s="0" t="str">
        <f aca="false">TEXT(J210,"mmm")</f>
        <v>Aug</v>
      </c>
      <c r="AB210" s="0" t="e">
        <f aca="false">xlookup(L210,Products!A:A,Products!B:B,"")</f>
        <v>#NAME?</v>
      </c>
    </row>
    <row r="211" customFormat="false" ht="15" hidden="false" customHeight="false" outlineLevel="0" collapsed="false">
      <c r="A211" s="0" t="s">
        <v>1163</v>
      </c>
      <c r="B211" s="0" t="s">
        <v>57</v>
      </c>
      <c r="C211" s="0" t="s">
        <v>417</v>
      </c>
      <c r="D211" s="0" t="n">
        <v>54</v>
      </c>
      <c r="E211" s="0" t="s">
        <v>48</v>
      </c>
      <c r="F211" s="0" t="s">
        <v>124</v>
      </c>
      <c r="G211" s="0" t="s">
        <v>1164</v>
      </c>
      <c r="H211" s="0" t="s">
        <v>441</v>
      </c>
      <c r="I211" s="0" t="s">
        <v>1165</v>
      </c>
      <c r="J211" s="4" t="n">
        <v>45925</v>
      </c>
      <c r="K211" s="0" t="s">
        <v>1166</v>
      </c>
      <c r="L211" s="0" t="s">
        <v>100</v>
      </c>
      <c r="M211" s="5" t="n">
        <v>999</v>
      </c>
      <c r="N211" s="0" t="n">
        <v>1</v>
      </c>
      <c r="O211" s="0" t="s">
        <v>54</v>
      </c>
      <c r="P211" s="0" t="n">
        <v>5</v>
      </c>
      <c r="Q211" s="5" t="n">
        <v>0</v>
      </c>
      <c r="R211" s="4" t="n">
        <v>45934</v>
      </c>
      <c r="S211" s="0" t="s">
        <v>1167</v>
      </c>
      <c r="T211" s="0" t="n">
        <f aca="false">R211-J211</f>
        <v>9</v>
      </c>
      <c r="U211" s="5" t="n">
        <f aca="false">M211*N211</f>
        <v>999</v>
      </c>
      <c r="V211" s="6" t="n">
        <f aca="false">IF(O211="FLAT5",5%,IF(O211="FLAT10",10%,IF(O211="FLAT15",15%,IF(O211="FLAT20",20%,0))))</f>
        <v>0</v>
      </c>
      <c r="W211" s="5" t="n">
        <f aca="false">U211*(1-V211)</f>
        <v>999</v>
      </c>
      <c r="X211" s="5" t="n">
        <f aca="false">W211+IF(O211="DEL0",0,Q211)</f>
        <v>999</v>
      </c>
      <c r="Y211" s="0" t="str">
        <f aca="false">B211&amp;" "&amp;C211</f>
        <v>Arjun Mehta</v>
      </c>
      <c r="Z211" s="0" t="str">
        <f aca="false">IF(T211&lt;P211,"BeforeTime",IF(T211=P211,"Intime","Late"))</f>
        <v>Late</v>
      </c>
      <c r="AA211" s="0" t="str">
        <f aca="false">TEXT(J211,"mmm")</f>
        <v>Sep</v>
      </c>
      <c r="AB211" s="0" t="e">
        <f aca="false">xlookup(L211,Products!A:A,Products!B:B,"")</f>
        <v>#NAME?</v>
      </c>
    </row>
    <row r="212" customFormat="false" ht="15" hidden="false" customHeight="false" outlineLevel="0" collapsed="false">
      <c r="A212" s="0" t="s">
        <v>439</v>
      </c>
      <c r="B212" s="0" t="s">
        <v>174</v>
      </c>
      <c r="C212" s="0" t="s">
        <v>195</v>
      </c>
      <c r="D212" s="0" t="n">
        <v>27</v>
      </c>
      <c r="E212" s="0" t="s">
        <v>48</v>
      </c>
      <c r="F212" s="0" t="s">
        <v>262</v>
      </c>
      <c r="G212" s="0" t="s">
        <v>1168</v>
      </c>
      <c r="H212" s="0" t="s">
        <v>1169</v>
      </c>
      <c r="I212" s="0" t="s">
        <v>1170</v>
      </c>
      <c r="J212" s="4" t="n">
        <v>45722</v>
      </c>
      <c r="K212" s="0" t="s">
        <v>63</v>
      </c>
      <c r="L212" s="0" t="s">
        <v>42</v>
      </c>
      <c r="M212" s="5" t="n">
        <v>2199</v>
      </c>
      <c r="N212" s="0" t="n">
        <v>2</v>
      </c>
      <c r="O212" s="0" t="s">
        <v>54</v>
      </c>
      <c r="P212" s="0" t="n">
        <v>2</v>
      </c>
      <c r="Q212" s="5" t="n">
        <v>0</v>
      </c>
      <c r="R212" s="4" t="n">
        <v>45724</v>
      </c>
      <c r="S212" s="0" t="s">
        <v>1171</v>
      </c>
      <c r="T212" s="0" t="n">
        <f aca="false">R212-J212</f>
        <v>2</v>
      </c>
      <c r="U212" s="5" t="n">
        <f aca="false">M212*N212</f>
        <v>4398</v>
      </c>
      <c r="V212" s="6" t="n">
        <f aca="false">IF(O212="FLAT5",5%,IF(O212="FLAT10",10%,IF(O212="FLAT15",15%,IF(O212="FLAT20",20%,0))))</f>
        <v>0</v>
      </c>
      <c r="W212" s="5" t="n">
        <f aca="false">U212*(1-V212)</f>
        <v>4398</v>
      </c>
      <c r="X212" s="5" t="n">
        <f aca="false">W212+IF(O212="DEL0",0,Q212)</f>
        <v>4398</v>
      </c>
      <c r="Y212" s="0" t="str">
        <f aca="false">B212&amp;" "&amp;C212</f>
        <v>Ananya Singh</v>
      </c>
      <c r="Z212" s="0" t="str">
        <f aca="false">IF(T212&lt;P212,"BeforeTime",IF(T212=P212,"Intime","Late"))</f>
        <v>Intime</v>
      </c>
      <c r="AA212" s="0" t="str">
        <f aca="false">TEXT(J212,"mmm")</f>
        <v>Mar</v>
      </c>
      <c r="AB212" s="0" t="e">
        <f aca="false">xlookup(L212,Products!A:A,Products!B:B,"")</f>
        <v>#NAME?</v>
      </c>
    </row>
    <row r="213" customFormat="false" ht="15" hidden="false" customHeight="false" outlineLevel="0" collapsed="false">
      <c r="A213" s="0" t="s">
        <v>993</v>
      </c>
      <c r="B213" s="0" t="s">
        <v>104</v>
      </c>
      <c r="C213" s="0" t="s">
        <v>181</v>
      </c>
      <c r="D213" s="0" t="n">
        <v>40</v>
      </c>
      <c r="E213" s="0" t="s">
        <v>36</v>
      </c>
      <c r="F213" s="0" t="s">
        <v>140</v>
      </c>
      <c r="G213" s="0" t="s">
        <v>1172</v>
      </c>
      <c r="H213" s="0" t="s">
        <v>1173</v>
      </c>
      <c r="I213" s="0" t="s">
        <v>1174</v>
      </c>
      <c r="J213" s="4" t="n">
        <v>45799</v>
      </c>
      <c r="K213" s="0" t="s">
        <v>606</v>
      </c>
      <c r="L213" s="0" t="s">
        <v>136</v>
      </c>
      <c r="M213" s="5" t="n">
        <v>1799</v>
      </c>
      <c r="N213" s="0" t="n">
        <v>4</v>
      </c>
      <c r="O213" s="0" t="s">
        <v>101</v>
      </c>
      <c r="P213" s="0" t="n">
        <v>6</v>
      </c>
      <c r="Q213" s="5" t="n">
        <v>40</v>
      </c>
      <c r="R213" s="4" t="n">
        <v>45805</v>
      </c>
      <c r="S213" s="0" t="s">
        <v>1175</v>
      </c>
      <c r="T213" s="0" t="n">
        <f aca="false">R213-J213</f>
        <v>6</v>
      </c>
      <c r="U213" s="5" t="n">
        <f aca="false">M213*N213</f>
        <v>7196</v>
      </c>
      <c r="V213" s="6" t="n">
        <f aca="false">IF(O213="FLAT5",5%,IF(O213="FLAT10",10%,IF(O213="FLAT15",15%,IF(O213="FLAT20",20%,0))))</f>
        <v>0.15</v>
      </c>
      <c r="W213" s="5" t="n">
        <f aca="false">U213*(1-V213)</f>
        <v>6116.6</v>
      </c>
      <c r="X213" s="5" t="n">
        <f aca="false">W213+IF(O213="DEL0",0,Q213)</f>
        <v>6156.6</v>
      </c>
      <c r="Y213" s="0" t="str">
        <f aca="false">B213&amp;" "&amp;C213</f>
        <v>Keerthi Gupta</v>
      </c>
      <c r="Z213" s="0" t="str">
        <f aca="false">IF(T213&lt;P213,"BeforeTime",IF(T213=P213,"Intime","Late"))</f>
        <v>Intime</v>
      </c>
      <c r="AA213" s="0" t="str">
        <f aca="false">TEXT(J213,"mmm")</f>
        <v>May</v>
      </c>
      <c r="AB213" s="0" t="e">
        <f aca="false">xlookup(L213,Products!A:A,Products!B:B,"")</f>
        <v>#NAME?</v>
      </c>
    </row>
    <row r="214" customFormat="false" ht="15" hidden="false" customHeight="false" outlineLevel="0" collapsed="false">
      <c r="A214" s="0" t="s">
        <v>1176</v>
      </c>
      <c r="B214" s="0" t="s">
        <v>282</v>
      </c>
      <c r="C214" s="0" t="s">
        <v>195</v>
      </c>
      <c r="D214" s="0" t="n">
        <v>29</v>
      </c>
      <c r="E214" s="0" t="s">
        <v>36</v>
      </c>
      <c r="F214" s="0" t="s">
        <v>140</v>
      </c>
      <c r="G214" s="0" t="s">
        <v>1177</v>
      </c>
      <c r="H214" s="0" t="s">
        <v>1178</v>
      </c>
      <c r="I214" s="0" t="s">
        <v>1179</v>
      </c>
      <c r="J214" s="4" t="n">
        <v>45932</v>
      </c>
      <c r="K214" s="0" t="s">
        <v>1180</v>
      </c>
      <c r="L214" s="0" t="s">
        <v>64</v>
      </c>
      <c r="M214" s="5" t="n">
        <v>2799</v>
      </c>
      <c r="N214" s="0" t="n">
        <v>1</v>
      </c>
      <c r="O214" s="0" t="s">
        <v>54</v>
      </c>
      <c r="P214" s="0" t="n">
        <v>4</v>
      </c>
      <c r="Q214" s="5" t="n">
        <v>0</v>
      </c>
      <c r="R214" s="4" t="n">
        <v>45939</v>
      </c>
      <c r="S214" s="0" t="s">
        <v>459</v>
      </c>
      <c r="T214" s="0" t="n">
        <f aca="false">R214-J214</f>
        <v>7</v>
      </c>
      <c r="U214" s="5" t="n">
        <f aca="false">M214*N214</f>
        <v>2799</v>
      </c>
      <c r="V214" s="6" t="n">
        <f aca="false">IF(O214="FLAT5",5%,IF(O214="FLAT10",10%,IF(O214="FLAT15",15%,IF(O214="FLAT20",20%,0))))</f>
        <v>0</v>
      </c>
      <c r="W214" s="5" t="n">
        <f aca="false">U214*(1-V214)</f>
        <v>2799</v>
      </c>
      <c r="X214" s="5" t="n">
        <f aca="false">W214+IF(O214="DEL0",0,Q214)</f>
        <v>2799</v>
      </c>
      <c r="Y214" s="0" t="str">
        <f aca="false">B214&amp;" "&amp;C214</f>
        <v>Nisha Singh</v>
      </c>
      <c r="Z214" s="0" t="str">
        <f aca="false">IF(T214&lt;P214,"BeforeTime",IF(T214=P214,"Intime","Late"))</f>
        <v>Late</v>
      </c>
      <c r="AA214" s="0" t="str">
        <f aca="false">TEXT(J214,"mmm")</f>
        <v>Oct</v>
      </c>
      <c r="AB214" s="0" t="e">
        <f aca="false">xlookup(L214,Products!A:A,Products!B:B,"")</f>
        <v>#NAME?</v>
      </c>
    </row>
    <row r="215" customFormat="false" ht="15" hidden="false" customHeight="false" outlineLevel="0" collapsed="false">
      <c r="A215" s="0" t="s">
        <v>1181</v>
      </c>
      <c r="B215" s="0" t="s">
        <v>582</v>
      </c>
      <c r="C215" s="0" t="s">
        <v>181</v>
      </c>
      <c r="D215" s="0" t="n">
        <v>45</v>
      </c>
      <c r="E215" s="0" t="s">
        <v>36</v>
      </c>
      <c r="F215" s="0" t="s">
        <v>124</v>
      </c>
      <c r="G215" s="0" t="s">
        <v>1182</v>
      </c>
      <c r="H215" s="0" t="s">
        <v>1183</v>
      </c>
      <c r="I215" s="0" t="s">
        <v>1184</v>
      </c>
      <c r="J215" s="4" t="n">
        <v>45827</v>
      </c>
      <c r="K215" s="0" t="s">
        <v>1185</v>
      </c>
      <c r="L215" s="0" t="s">
        <v>64</v>
      </c>
      <c r="M215" s="5" t="n">
        <v>2799</v>
      </c>
      <c r="N215" s="0" t="n">
        <v>4</v>
      </c>
      <c r="O215" s="0" t="s">
        <v>83</v>
      </c>
      <c r="P215" s="0" t="n">
        <v>7</v>
      </c>
      <c r="Q215" s="5" t="n">
        <v>120</v>
      </c>
      <c r="R215" s="4" t="n">
        <v>45834</v>
      </c>
      <c r="S215" s="0" t="s">
        <v>336</v>
      </c>
      <c r="T215" s="0" t="n">
        <f aca="false">R215-J215</f>
        <v>7</v>
      </c>
      <c r="U215" s="5" t="n">
        <f aca="false">M215*N215</f>
        <v>11196</v>
      </c>
      <c r="V215" s="6" t="n">
        <f aca="false">IF(O215="FLAT5",5%,IF(O215="FLAT10",10%,IF(O215="FLAT15",15%,IF(O215="FLAT20",20%,0))))</f>
        <v>0.05</v>
      </c>
      <c r="W215" s="5" t="n">
        <f aca="false">U215*(1-V215)</f>
        <v>10636.2</v>
      </c>
      <c r="X215" s="5" t="n">
        <f aca="false">W215+IF(O215="DEL0",0,Q215)</f>
        <v>10756.2</v>
      </c>
      <c r="Y215" s="0" t="str">
        <f aca="false">B215&amp;" "&amp;C215</f>
        <v>Kavya Gupta</v>
      </c>
      <c r="Z215" s="0" t="str">
        <f aca="false">IF(T215&lt;P215,"BeforeTime",IF(T215=P215,"Intime","Late"))</f>
        <v>Intime</v>
      </c>
      <c r="AA215" s="0" t="str">
        <f aca="false">TEXT(J215,"mmm")</f>
        <v>Jun</v>
      </c>
      <c r="AB215" s="0" t="e">
        <f aca="false">xlookup(L215,Products!A:A,Products!B:B,"")</f>
        <v>#NAME?</v>
      </c>
    </row>
    <row r="216" customFormat="false" ht="15" hidden="false" customHeight="false" outlineLevel="0" collapsed="false">
      <c r="A216" s="0" t="s">
        <v>507</v>
      </c>
      <c r="B216" s="0" t="s">
        <v>75</v>
      </c>
      <c r="C216" s="0" t="s">
        <v>167</v>
      </c>
      <c r="D216" s="0" t="n">
        <v>26</v>
      </c>
      <c r="E216" s="0" t="s">
        <v>36</v>
      </c>
      <c r="F216" s="0" t="s">
        <v>262</v>
      </c>
      <c r="G216" s="0" t="s">
        <v>1186</v>
      </c>
      <c r="H216" s="0" t="s">
        <v>149</v>
      </c>
      <c r="I216" s="0" t="s">
        <v>1187</v>
      </c>
      <c r="J216" s="4" t="n">
        <v>45822</v>
      </c>
      <c r="K216" s="0" t="s">
        <v>485</v>
      </c>
      <c r="L216" s="0" t="s">
        <v>72</v>
      </c>
      <c r="M216" s="5" t="n">
        <v>1299</v>
      </c>
      <c r="N216" s="0" t="n">
        <v>4</v>
      </c>
      <c r="O216" s="0" t="s">
        <v>54</v>
      </c>
      <c r="P216" s="0" t="n">
        <v>4</v>
      </c>
      <c r="Q216" s="5" t="n">
        <v>0</v>
      </c>
      <c r="R216" s="4" t="n">
        <v>45826</v>
      </c>
      <c r="S216" s="0" t="s">
        <v>464</v>
      </c>
      <c r="T216" s="0" t="n">
        <f aca="false">R216-J216</f>
        <v>4</v>
      </c>
      <c r="U216" s="5" t="n">
        <f aca="false">M216*N216</f>
        <v>5196</v>
      </c>
      <c r="V216" s="6" t="n">
        <f aca="false">IF(O216="FLAT5",5%,IF(O216="FLAT10",10%,IF(O216="FLAT15",15%,IF(O216="FLAT20",20%,0))))</f>
        <v>0</v>
      </c>
      <c r="W216" s="5" t="n">
        <f aca="false">U216*(1-V216)</f>
        <v>5196</v>
      </c>
      <c r="X216" s="5" t="n">
        <f aca="false">W216+IF(O216="DEL0",0,Q216)</f>
        <v>5196</v>
      </c>
      <c r="Y216" s="0" t="str">
        <f aca="false">B216&amp;" "&amp;C216</f>
        <v>Vikram Chowdhury</v>
      </c>
      <c r="Z216" s="0" t="str">
        <f aca="false">IF(T216&lt;P216,"BeforeTime",IF(T216=P216,"Intime","Late"))</f>
        <v>Intime</v>
      </c>
      <c r="AA216" s="0" t="str">
        <f aca="false">TEXT(J216,"mmm")</f>
        <v>Jun</v>
      </c>
      <c r="AB216" s="0" t="e">
        <f aca="false">xlookup(L216,Products!A:A,Products!B:B,"")</f>
        <v>#NAME?</v>
      </c>
    </row>
    <row r="217" customFormat="false" ht="15" hidden="false" customHeight="false" outlineLevel="0" collapsed="false">
      <c r="A217" s="0" t="s">
        <v>1188</v>
      </c>
      <c r="B217" s="0" t="s">
        <v>282</v>
      </c>
      <c r="C217" s="0" t="s">
        <v>167</v>
      </c>
      <c r="D217" s="0" t="n">
        <v>53</v>
      </c>
      <c r="E217" s="0" t="s">
        <v>48</v>
      </c>
      <c r="F217" s="0" t="s">
        <v>202</v>
      </c>
      <c r="G217" s="0" t="s">
        <v>1189</v>
      </c>
      <c r="H217" s="0" t="s">
        <v>451</v>
      </c>
      <c r="I217" s="0" t="s">
        <v>1190</v>
      </c>
      <c r="J217" s="4" t="n">
        <v>46021</v>
      </c>
      <c r="K217" s="0" t="s">
        <v>1191</v>
      </c>
      <c r="L217" s="0" t="s">
        <v>240</v>
      </c>
      <c r="M217" s="5" t="n">
        <v>4999</v>
      </c>
      <c r="N217" s="0" t="n">
        <v>2</v>
      </c>
      <c r="O217" s="0" t="s">
        <v>83</v>
      </c>
      <c r="P217" s="0" t="n">
        <v>6</v>
      </c>
      <c r="Q217" s="5" t="n">
        <v>90</v>
      </c>
      <c r="R217" s="4" t="n">
        <v>46027</v>
      </c>
      <c r="S217" s="0" t="s">
        <v>621</v>
      </c>
      <c r="T217" s="0" t="n">
        <f aca="false">R217-J217</f>
        <v>6</v>
      </c>
      <c r="U217" s="5" t="n">
        <f aca="false">M217*N217</f>
        <v>9998</v>
      </c>
      <c r="V217" s="6" t="n">
        <f aca="false">IF(O217="FLAT5",5%,IF(O217="FLAT10",10%,IF(O217="FLAT15",15%,IF(O217="FLAT20",20%,0))))</f>
        <v>0.05</v>
      </c>
      <c r="W217" s="5" t="n">
        <f aca="false">U217*(1-V217)</f>
        <v>9498.1</v>
      </c>
      <c r="X217" s="5" t="n">
        <f aca="false">W217+IF(O217="DEL0",0,Q217)</f>
        <v>9588.1</v>
      </c>
      <c r="Y217" s="0" t="str">
        <f aca="false">B217&amp;" "&amp;C217</f>
        <v>Nisha Chowdhury</v>
      </c>
      <c r="Z217" s="0" t="str">
        <f aca="false">IF(T217&lt;P217,"BeforeTime",IF(T217=P217,"Intime","Late"))</f>
        <v>Intime</v>
      </c>
      <c r="AA217" s="0" t="str">
        <f aca="false">TEXT(J217,"mmm")</f>
        <v>Dec</v>
      </c>
      <c r="AB217" s="0" t="e">
        <f aca="false">xlookup(L217,Products!A:A,Products!B:B,"")</f>
        <v>#NAME?</v>
      </c>
    </row>
    <row r="218" customFormat="false" ht="15" hidden="false" customHeight="false" outlineLevel="0" collapsed="false">
      <c r="A218" s="0" t="s">
        <v>439</v>
      </c>
      <c r="B218" s="0" t="s">
        <v>174</v>
      </c>
      <c r="C218" s="0" t="s">
        <v>123</v>
      </c>
      <c r="D218" s="0" t="n">
        <v>22</v>
      </c>
      <c r="E218" s="0" t="s">
        <v>48</v>
      </c>
      <c r="F218" s="0" t="s">
        <v>202</v>
      </c>
      <c r="G218" s="0" t="s">
        <v>1192</v>
      </c>
      <c r="H218" s="0" t="s">
        <v>1193</v>
      </c>
      <c r="I218" s="0" t="s">
        <v>1194</v>
      </c>
      <c r="J218" s="4" t="n">
        <v>45895</v>
      </c>
      <c r="K218" s="0" t="s">
        <v>1195</v>
      </c>
      <c r="L218" s="0" t="s">
        <v>391</v>
      </c>
      <c r="M218" s="5" t="n">
        <v>3499</v>
      </c>
      <c r="N218" s="0" t="n">
        <v>2</v>
      </c>
      <c r="O218" s="0" t="s">
        <v>91</v>
      </c>
      <c r="P218" s="0" t="n">
        <v>6</v>
      </c>
      <c r="Q218" s="5" t="n">
        <v>40</v>
      </c>
      <c r="R218" s="4" t="n">
        <v>45901</v>
      </c>
      <c r="S218" s="0" t="s">
        <v>1196</v>
      </c>
      <c r="T218" s="0" t="n">
        <f aca="false">R218-J218</f>
        <v>6</v>
      </c>
      <c r="U218" s="5" t="n">
        <f aca="false">M218*N218</f>
        <v>6998</v>
      </c>
      <c r="V218" s="6" t="n">
        <f aca="false">IF(O218="FLAT5",5%,IF(O218="FLAT10",10%,IF(O218="FLAT15",15%,IF(O218="FLAT20",20%,0))))</f>
        <v>0.1</v>
      </c>
      <c r="W218" s="5" t="n">
        <f aca="false">U218*(1-V218)</f>
        <v>6298.2</v>
      </c>
      <c r="X218" s="5" t="n">
        <f aca="false">W218+IF(O218="DEL0",0,Q218)</f>
        <v>6338.2</v>
      </c>
      <c r="Y218" s="0" t="str">
        <f aca="false">B218&amp;" "&amp;C218</f>
        <v>Ananya Nair</v>
      </c>
      <c r="Z218" s="0" t="str">
        <f aca="false">IF(T218&lt;P218,"BeforeTime",IF(T218=P218,"Intime","Late"))</f>
        <v>Intime</v>
      </c>
      <c r="AA218" s="0" t="str">
        <f aca="false">TEXT(J218,"mmm")</f>
        <v>Aug</v>
      </c>
      <c r="AB218" s="0" t="e">
        <f aca="false">xlookup(L218,Products!A:A,Products!B:B,"")</f>
        <v>#NAME?</v>
      </c>
    </row>
    <row r="219" customFormat="false" ht="15" hidden="false" customHeight="false" outlineLevel="0" collapsed="false">
      <c r="A219" s="0" t="s">
        <v>1176</v>
      </c>
      <c r="B219" s="0" t="s">
        <v>582</v>
      </c>
      <c r="C219" s="0" t="s">
        <v>167</v>
      </c>
      <c r="D219" s="0" t="n">
        <v>57</v>
      </c>
      <c r="E219" s="0" t="s">
        <v>48</v>
      </c>
      <c r="F219" s="0" t="s">
        <v>59</v>
      </c>
      <c r="G219" s="0" t="s">
        <v>1197</v>
      </c>
      <c r="H219" s="0" t="s">
        <v>1056</v>
      </c>
      <c r="I219" s="0" t="s">
        <v>1198</v>
      </c>
      <c r="J219" s="4" t="n">
        <v>46010</v>
      </c>
      <c r="K219" s="0" t="s">
        <v>1048</v>
      </c>
      <c r="L219" s="0" t="s">
        <v>42</v>
      </c>
      <c r="M219" s="5" t="n">
        <v>2199</v>
      </c>
      <c r="N219" s="0" t="n">
        <v>3</v>
      </c>
      <c r="O219" s="0" t="s">
        <v>54</v>
      </c>
      <c r="P219" s="0" t="n">
        <v>2</v>
      </c>
      <c r="Q219" s="5" t="n">
        <v>0</v>
      </c>
      <c r="R219" s="4" t="n">
        <v>46012</v>
      </c>
      <c r="S219" s="0" t="s">
        <v>1079</v>
      </c>
      <c r="T219" s="0" t="n">
        <f aca="false">R219-J219</f>
        <v>2</v>
      </c>
      <c r="U219" s="5" t="n">
        <f aca="false">M219*N219</f>
        <v>6597</v>
      </c>
      <c r="V219" s="6" t="n">
        <f aca="false">IF(O219="FLAT5",5%,IF(O219="FLAT10",10%,IF(O219="FLAT15",15%,IF(O219="FLAT20",20%,0))))</f>
        <v>0</v>
      </c>
      <c r="W219" s="5" t="n">
        <f aca="false">U219*(1-V219)</f>
        <v>6597</v>
      </c>
      <c r="X219" s="5" t="n">
        <f aca="false">W219+IF(O219="DEL0",0,Q219)</f>
        <v>6597</v>
      </c>
      <c r="Y219" s="0" t="str">
        <f aca="false">B219&amp;" "&amp;C219</f>
        <v>Kavya Chowdhury</v>
      </c>
      <c r="Z219" s="0" t="str">
        <f aca="false">IF(T219&lt;P219,"BeforeTime",IF(T219=P219,"Intime","Late"))</f>
        <v>Intime</v>
      </c>
      <c r="AA219" s="0" t="str">
        <f aca="false">TEXT(J219,"mmm")</f>
        <v>Dec</v>
      </c>
      <c r="AB219" s="0" t="e">
        <f aca="false">xlookup(L219,Products!A:A,Products!B:B,"")</f>
        <v>#NAME?</v>
      </c>
    </row>
    <row r="220" customFormat="false" ht="15" hidden="false" customHeight="false" outlineLevel="0" collapsed="false">
      <c r="A220" s="0" t="s">
        <v>864</v>
      </c>
      <c r="B220" s="0" t="s">
        <v>405</v>
      </c>
      <c r="C220" s="0" t="s">
        <v>123</v>
      </c>
      <c r="D220" s="0" t="n">
        <v>33</v>
      </c>
      <c r="E220" s="0" t="s">
        <v>48</v>
      </c>
      <c r="F220" s="0" t="s">
        <v>160</v>
      </c>
      <c r="G220" s="0" t="s">
        <v>1199</v>
      </c>
      <c r="H220" s="0" t="s">
        <v>1200</v>
      </c>
      <c r="I220" s="0" t="s">
        <v>1201</v>
      </c>
      <c r="J220" s="4" t="n">
        <v>46007</v>
      </c>
      <c r="K220" s="0" t="s">
        <v>849</v>
      </c>
      <c r="L220" s="0" t="s">
        <v>240</v>
      </c>
      <c r="M220" s="5" t="n">
        <v>4999</v>
      </c>
      <c r="N220" s="0" t="n">
        <v>1</v>
      </c>
      <c r="O220" s="0" t="s">
        <v>259</v>
      </c>
      <c r="P220" s="0" t="n">
        <v>2</v>
      </c>
      <c r="Q220" s="5" t="n">
        <v>50</v>
      </c>
      <c r="R220" s="4" t="n">
        <v>46009</v>
      </c>
      <c r="S220" s="0" t="s">
        <v>918</v>
      </c>
      <c r="T220" s="0" t="n">
        <f aca="false">R220-J220</f>
        <v>2</v>
      </c>
      <c r="U220" s="5" t="n">
        <f aca="false">M220*N220</f>
        <v>4999</v>
      </c>
      <c r="V220" s="6" t="n">
        <f aca="false">IF(O220="FLAT5",5%,IF(O220="FLAT10",10%,IF(O220="FLAT15",15%,IF(O220="FLAT20",20%,0))))</f>
        <v>0</v>
      </c>
      <c r="W220" s="5" t="n">
        <f aca="false">U220*(1-V220)</f>
        <v>4999</v>
      </c>
      <c r="X220" s="5" t="n">
        <f aca="false">W220+IF(O220="DEL0",0,Q220)</f>
        <v>5049</v>
      </c>
      <c r="Y220" s="0" t="str">
        <f aca="false">B220&amp;" "&amp;C220</f>
        <v>Sneha Nair</v>
      </c>
      <c r="Z220" s="0" t="str">
        <f aca="false">IF(T220&lt;P220,"BeforeTime",IF(T220=P220,"Intime","Late"))</f>
        <v>Intime</v>
      </c>
      <c r="AA220" s="0" t="str">
        <f aca="false">TEXT(J220,"mmm")</f>
        <v>Dec</v>
      </c>
      <c r="AB220" s="0" t="e">
        <f aca="false">xlookup(L220,Products!A:A,Products!B:B,"")</f>
        <v>#NAME?</v>
      </c>
    </row>
    <row r="221" customFormat="false" ht="15" hidden="false" customHeight="false" outlineLevel="0" collapsed="false">
      <c r="A221" s="0" t="s">
        <v>1202</v>
      </c>
      <c r="B221" s="0" t="s">
        <v>104</v>
      </c>
      <c r="C221" s="0" t="s">
        <v>368</v>
      </c>
      <c r="D221" s="0" t="n">
        <v>37</v>
      </c>
      <c r="E221" s="0" t="s">
        <v>48</v>
      </c>
      <c r="F221" s="0" t="s">
        <v>160</v>
      </c>
      <c r="G221" s="0" t="s">
        <v>1203</v>
      </c>
      <c r="H221" s="0" t="s">
        <v>1204</v>
      </c>
      <c r="I221" s="0" t="s">
        <v>1205</v>
      </c>
      <c r="J221" s="4" t="n">
        <v>45896</v>
      </c>
      <c r="K221" s="0" t="s">
        <v>1206</v>
      </c>
      <c r="L221" s="0" t="s">
        <v>391</v>
      </c>
      <c r="M221" s="5" t="n">
        <v>3499</v>
      </c>
      <c r="N221" s="0" t="n">
        <v>4</v>
      </c>
      <c r="O221" s="0" t="s">
        <v>91</v>
      </c>
      <c r="P221" s="0" t="n">
        <v>4</v>
      </c>
      <c r="Q221" s="5" t="n">
        <v>90</v>
      </c>
      <c r="R221" s="4" t="n">
        <v>45900</v>
      </c>
      <c r="S221" s="0" t="s">
        <v>1207</v>
      </c>
      <c r="T221" s="0" t="n">
        <f aca="false">R221-J221</f>
        <v>4</v>
      </c>
      <c r="U221" s="5" t="n">
        <f aca="false">M221*N221</f>
        <v>13996</v>
      </c>
      <c r="V221" s="6" t="n">
        <f aca="false">IF(O221="FLAT5",5%,IF(O221="FLAT10",10%,IF(O221="FLAT15",15%,IF(O221="FLAT20",20%,0))))</f>
        <v>0.1</v>
      </c>
      <c r="W221" s="5" t="n">
        <f aca="false">U221*(1-V221)</f>
        <v>12596.4</v>
      </c>
      <c r="X221" s="5" t="n">
        <f aca="false">W221+IF(O221="DEL0",0,Q221)</f>
        <v>12686.4</v>
      </c>
      <c r="Y221" s="0" t="str">
        <f aca="false">B221&amp;" "&amp;C221</f>
        <v>Keerthi Das</v>
      </c>
      <c r="Z221" s="0" t="str">
        <f aca="false">IF(T221&lt;P221,"BeforeTime",IF(T221=P221,"Intime","Late"))</f>
        <v>Intime</v>
      </c>
      <c r="AA221" s="0" t="str">
        <f aca="false">TEXT(J221,"mmm")</f>
        <v>Aug</v>
      </c>
      <c r="AB221" s="0" t="e">
        <f aca="false">xlookup(L221,Products!A:A,Products!B:B,"")</f>
        <v>#NAME?</v>
      </c>
    </row>
    <row r="222" customFormat="false" ht="15" hidden="false" customHeight="false" outlineLevel="0" collapsed="false">
      <c r="A222" s="0" t="s">
        <v>1208</v>
      </c>
      <c r="B222" s="0" t="s">
        <v>67</v>
      </c>
      <c r="C222" s="0" t="s">
        <v>368</v>
      </c>
      <c r="D222" s="0" t="n">
        <v>39</v>
      </c>
      <c r="E222" s="0" t="s">
        <v>36</v>
      </c>
      <c r="F222" s="0" t="s">
        <v>248</v>
      </c>
      <c r="G222" s="0" t="s">
        <v>1209</v>
      </c>
      <c r="H222" s="0" t="s">
        <v>318</v>
      </c>
      <c r="I222" s="0" t="s">
        <v>1210</v>
      </c>
      <c r="J222" s="4" t="n">
        <v>45985</v>
      </c>
      <c r="K222" s="0" t="s">
        <v>1211</v>
      </c>
      <c r="L222" s="0" t="s">
        <v>129</v>
      </c>
      <c r="M222" s="5" t="n">
        <v>2999</v>
      </c>
      <c r="N222" s="0" t="n">
        <v>3</v>
      </c>
      <c r="O222" s="0" t="s">
        <v>259</v>
      </c>
      <c r="P222" s="0" t="n">
        <v>4</v>
      </c>
      <c r="Q222" s="5" t="n">
        <v>120</v>
      </c>
      <c r="R222" s="4" t="n">
        <v>45992</v>
      </c>
      <c r="S222" s="0" t="s">
        <v>1212</v>
      </c>
      <c r="T222" s="0" t="n">
        <f aca="false">R222-J222</f>
        <v>7</v>
      </c>
      <c r="U222" s="5" t="n">
        <f aca="false">M222*N222</f>
        <v>8997</v>
      </c>
      <c r="V222" s="6" t="n">
        <f aca="false">IF(O222="FLAT5",5%,IF(O222="FLAT10",10%,IF(O222="FLAT15",15%,IF(O222="FLAT20",20%,0))))</f>
        <v>0</v>
      </c>
      <c r="W222" s="5" t="n">
        <f aca="false">U222*(1-V222)</f>
        <v>8997</v>
      </c>
      <c r="X222" s="5" t="n">
        <f aca="false">W222+IF(O222="DEL0",0,Q222)</f>
        <v>9117</v>
      </c>
      <c r="Y222" s="0" t="str">
        <f aca="false">B222&amp;" "&amp;C222</f>
        <v>Priya Das</v>
      </c>
      <c r="Z222" s="0" t="str">
        <f aca="false">IF(T222&lt;P222,"BeforeTime",IF(T222=P222,"Intime","Late"))</f>
        <v>Late</v>
      </c>
      <c r="AA222" s="0" t="str">
        <f aca="false">TEXT(J222,"mmm")</f>
        <v>Nov</v>
      </c>
      <c r="AB222" s="0" t="e">
        <f aca="false">xlookup(L222,Products!A:A,Products!B:B,"")</f>
        <v>#NAME?</v>
      </c>
    </row>
    <row r="223" customFormat="false" ht="15" hidden="false" customHeight="false" outlineLevel="0" collapsed="false">
      <c r="A223" s="0" t="s">
        <v>1213</v>
      </c>
      <c r="B223" s="0" t="s">
        <v>405</v>
      </c>
      <c r="C223" s="0" t="s">
        <v>210</v>
      </c>
      <c r="D223" s="0" t="n">
        <v>58</v>
      </c>
      <c r="E223" s="0" t="s">
        <v>48</v>
      </c>
      <c r="F223" s="0" t="s">
        <v>59</v>
      </c>
      <c r="G223" s="0" t="s">
        <v>1214</v>
      </c>
      <c r="H223" s="0" t="s">
        <v>1215</v>
      </c>
      <c r="I223" s="0" t="s">
        <v>1216</v>
      </c>
      <c r="J223" s="4" t="n">
        <v>45993</v>
      </c>
      <c r="K223" s="0" t="s">
        <v>1217</v>
      </c>
      <c r="L223" s="0" t="s">
        <v>119</v>
      </c>
      <c r="M223" s="5" t="n">
        <v>899</v>
      </c>
      <c r="N223" s="0" t="n">
        <v>2</v>
      </c>
      <c r="O223" s="0" t="s">
        <v>54</v>
      </c>
      <c r="P223" s="0" t="n">
        <v>5</v>
      </c>
      <c r="Q223" s="5" t="n">
        <v>0</v>
      </c>
      <c r="R223" s="4" t="n">
        <v>46001</v>
      </c>
      <c r="S223" s="0" t="s">
        <v>1218</v>
      </c>
      <c r="T223" s="0" t="n">
        <f aca="false">R223-J223</f>
        <v>8</v>
      </c>
      <c r="U223" s="5" t="n">
        <f aca="false">M223*N223</f>
        <v>1798</v>
      </c>
      <c r="V223" s="6" t="n">
        <f aca="false">IF(O223="FLAT5",5%,IF(O223="FLAT10",10%,IF(O223="FLAT15",15%,IF(O223="FLAT20",20%,0))))</f>
        <v>0</v>
      </c>
      <c r="W223" s="5" t="n">
        <f aca="false">U223*(1-V223)</f>
        <v>1798</v>
      </c>
      <c r="X223" s="5" t="n">
        <f aca="false">W223+IF(O223="DEL0",0,Q223)</f>
        <v>1798</v>
      </c>
      <c r="Y223" s="0" t="str">
        <f aca="false">B223&amp;" "&amp;C223</f>
        <v>Sneha Reddy</v>
      </c>
      <c r="Z223" s="0" t="str">
        <f aca="false">IF(T223&lt;P223,"BeforeTime",IF(T223=P223,"Intime","Late"))</f>
        <v>Late</v>
      </c>
      <c r="AA223" s="0" t="str">
        <f aca="false">TEXT(J223,"mmm")</f>
        <v>Dec</v>
      </c>
      <c r="AB223" s="0" t="e">
        <f aca="false">xlookup(L223,Products!A:A,Products!B:B,"")</f>
        <v>#NAME?</v>
      </c>
    </row>
    <row r="224" customFormat="false" ht="15" hidden="false" customHeight="false" outlineLevel="0" collapsed="false">
      <c r="A224" s="0" t="s">
        <v>1219</v>
      </c>
      <c r="B224" s="0" t="s">
        <v>94</v>
      </c>
      <c r="C224" s="0" t="s">
        <v>47</v>
      </c>
      <c r="D224" s="0" t="n">
        <v>41</v>
      </c>
      <c r="E224" s="0" t="s">
        <v>36</v>
      </c>
      <c r="F224" s="0" t="s">
        <v>77</v>
      </c>
      <c r="G224" s="0" t="s">
        <v>1220</v>
      </c>
      <c r="H224" s="0" t="s">
        <v>1221</v>
      </c>
      <c r="I224" s="0" t="s">
        <v>1222</v>
      </c>
      <c r="J224" s="4" t="n">
        <v>46001</v>
      </c>
      <c r="K224" s="0" t="s">
        <v>1223</v>
      </c>
      <c r="L224" s="0" t="s">
        <v>119</v>
      </c>
      <c r="M224" s="5" t="n">
        <v>899</v>
      </c>
      <c r="N224" s="0" t="n">
        <v>4</v>
      </c>
      <c r="O224" s="0" t="s">
        <v>259</v>
      </c>
      <c r="P224" s="0" t="n">
        <v>4</v>
      </c>
      <c r="Q224" s="5" t="n">
        <v>50</v>
      </c>
      <c r="R224" s="4" t="n">
        <v>46005</v>
      </c>
      <c r="S224" s="0" t="s">
        <v>1224</v>
      </c>
      <c r="T224" s="0" t="n">
        <f aca="false">R224-J224</f>
        <v>4</v>
      </c>
      <c r="U224" s="5" t="n">
        <f aca="false">M224*N224</f>
        <v>3596</v>
      </c>
      <c r="V224" s="6" t="n">
        <f aca="false">IF(O224="FLAT5",5%,IF(O224="FLAT10",10%,IF(O224="FLAT15",15%,IF(O224="FLAT20",20%,0))))</f>
        <v>0</v>
      </c>
      <c r="W224" s="5" t="n">
        <f aca="false">U224*(1-V224)</f>
        <v>3596</v>
      </c>
      <c r="X224" s="5" t="n">
        <f aca="false">W224+IF(O224="DEL0",0,Q224)</f>
        <v>3646</v>
      </c>
      <c r="Y224" s="0" t="str">
        <f aca="false">B224&amp;" "&amp;C224</f>
        <v>Manoj Verma</v>
      </c>
      <c r="Z224" s="0" t="str">
        <f aca="false">IF(T224&lt;P224,"BeforeTime",IF(T224=P224,"Intime","Late"))</f>
        <v>Intime</v>
      </c>
      <c r="AA224" s="0" t="str">
        <f aca="false">TEXT(J224,"mmm")</f>
        <v>Dec</v>
      </c>
      <c r="AB224" s="0" t="e">
        <f aca="false">xlookup(L224,Products!A:A,Products!B:B,"")</f>
        <v>#NAME?</v>
      </c>
    </row>
    <row r="225" customFormat="false" ht="15" hidden="false" customHeight="false" outlineLevel="0" collapsed="false">
      <c r="A225" s="0" t="s">
        <v>1085</v>
      </c>
      <c r="B225" s="0" t="s">
        <v>209</v>
      </c>
      <c r="C225" s="0" t="s">
        <v>181</v>
      </c>
      <c r="D225" s="0" t="n">
        <v>55</v>
      </c>
      <c r="E225" s="0" t="s">
        <v>36</v>
      </c>
      <c r="F225" s="0" t="s">
        <v>59</v>
      </c>
      <c r="G225" s="0" t="s">
        <v>1225</v>
      </c>
      <c r="H225" s="0" t="s">
        <v>1226</v>
      </c>
      <c r="I225" s="0" t="s">
        <v>1227</v>
      </c>
      <c r="J225" s="4" t="n">
        <v>45772</v>
      </c>
      <c r="K225" s="0" t="s">
        <v>444</v>
      </c>
      <c r="L225" s="0" t="s">
        <v>119</v>
      </c>
      <c r="M225" s="5" t="n">
        <v>899</v>
      </c>
      <c r="N225" s="0" t="n">
        <v>1</v>
      </c>
      <c r="O225" s="0" t="s">
        <v>91</v>
      </c>
      <c r="P225" s="0" t="n">
        <v>7</v>
      </c>
      <c r="Q225" s="5" t="n">
        <v>60</v>
      </c>
      <c r="R225" s="4" t="n">
        <v>45783</v>
      </c>
      <c r="S225" s="0" t="s">
        <v>1224</v>
      </c>
      <c r="T225" s="0" t="n">
        <f aca="false">R225-J225</f>
        <v>11</v>
      </c>
      <c r="U225" s="5" t="n">
        <f aca="false">M225*N225</f>
        <v>899</v>
      </c>
      <c r="V225" s="6" t="n">
        <f aca="false">IF(O225="FLAT5",5%,IF(O225="FLAT10",10%,IF(O225="FLAT15",15%,IF(O225="FLAT20",20%,0))))</f>
        <v>0.1</v>
      </c>
      <c r="W225" s="5" t="n">
        <f aca="false">U225*(1-V225)</f>
        <v>809.1</v>
      </c>
      <c r="X225" s="5" t="n">
        <f aca="false">W225+IF(O225="DEL0",0,Q225)</f>
        <v>869.1</v>
      </c>
      <c r="Y225" s="0" t="str">
        <f aca="false">B225&amp;" "&amp;C225</f>
        <v>Ishaan Gupta</v>
      </c>
      <c r="Z225" s="0" t="str">
        <f aca="false">IF(T225&lt;P225,"BeforeTime",IF(T225=P225,"Intime","Late"))</f>
        <v>Late</v>
      </c>
      <c r="AA225" s="0" t="str">
        <f aca="false">TEXT(J225,"mmm")</f>
        <v>Apr</v>
      </c>
      <c r="AB225" s="0" t="e">
        <f aca="false">xlookup(L225,Products!A:A,Products!B:B,"")</f>
        <v>#NAME?</v>
      </c>
    </row>
    <row r="226" customFormat="false" ht="15" hidden="false" customHeight="false" outlineLevel="0" collapsed="false">
      <c r="A226" s="0" t="s">
        <v>300</v>
      </c>
      <c r="B226" s="0" t="s">
        <v>174</v>
      </c>
      <c r="C226" s="0" t="s">
        <v>76</v>
      </c>
      <c r="D226" s="0" t="n">
        <v>50</v>
      </c>
      <c r="E226" s="0" t="s">
        <v>36</v>
      </c>
      <c r="F226" s="0" t="s">
        <v>77</v>
      </c>
      <c r="G226" s="0" t="s">
        <v>1228</v>
      </c>
      <c r="H226" s="0" t="s">
        <v>1229</v>
      </c>
      <c r="I226" s="0" t="s">
        <v>1230</v>
      </c>
      <c r="J226" s="4" t="n">
        <v>45869</v>
      </c>
      <c r="K226" s="0" t="s">
        <v>1231</v>
      </c>
      <c r="L226" s="0" t="s">
        <v>129</v>
      </c>
      <c r="M226" s="5" t="n">
        <v>2999</v>
      </c>
      <c r="N226" s="0" t="n">
        <v>4</v>
      </c>
      <c r="O226" s="0" t="s">
        <v>101</v>
      </c>
      <c r="P226" s="0" t="n">
        <v>2</v>
      </c>
      <c r="Q226" s="5" t="n">
        <v>50</v>
      </c>
      <c r="R226" s="4" t="n">
        <v>45873</v>
      </c>
      <c r="S226" s="0" t="s">
        <v>1232</v>
      </c>
      <c r="T226" s="0" t="n">
        <f aca="false">R226-J226</f>
        <v>4</v>
      </c>
      <c r="U226" s="5" t="n">
        <f aca="false">M226*N226</f>
        <v>11996</v>
      </c>
      <c r="V226" s="6" t="n">
        <f aca="false">IF(O226="FLAT5",5%,IF(O226="FLAT10",10%,IF(O226="FLAT15",15%,IF(O226="FLAT20",20%,0))))</f>
        <v>0.15</v>
      </c>
      <c r="W226" s="5" t="n">
        <f aca="false">U226*(1-V226)</f>
        <v>10196.6</v>
      </c>
      <c r="X226" s="5" t="n">
        <f aca="false">W226+IF(O226="DEL0",0,Q226)</f>
        <v>10246.6</v>
      </c>
      <c r="Y226" s="0" t="str">
        <f aca="false">B226&amp;" "&amp;C226</f>
        <v>Ananya Patel</v>
      </c>
      <c r="Z226" s="0" t="str">
        <f aca="false">IF(T226&lt;P226,"BeforeTime",IF(T226=P226,"Intime","Late"))</f>
        <v>Late</v>
      </c>
      <c r="AA226" s="0" t="str">
        <f aca="false">TEXT(J226,"mmm")</f>
        <v>Jul</v>
      </c>
      <c r="AB226" s="0" t="e">
        <f aca="false">xlookup(L226,Products!A:A,Products!B:B,"")</f>
        <v>#NAME?</v>
      </c>
    </row>
    <row r="227" customFormat="false" ht="15" hidden="false" customHeight="false" outlineLevel="0" collapsed="false">
      <c r="A227" s="0" t="s">
        <v>1233</v>
      </c>
      <c r="B227" s="0" t="s">
        <v>86</v>
      </c>
      <c r="C227" s="0" t="s">
        <v>113</v>
      </c>
      <c r="D227" s="0" t="n">
        <v>25</v>
      </c>
      <c r="E227" s="0" t="s">
        <v>48</v>
      </c>
      <c r="F227" s="0" t="s">
        <v>59</v>
      </c>
      <c r="G227" s="0" t="s">
        <v>1234</v>
      </c>
      <c r="H227" s="0" t="s">
        <v>1092</v>
      </c>
      <c r="I227" s="0" t="s">
        <v>1235</v>
      </c>
      <c r="J227" s="4" t="n">
        <v>45687</v>
      </c>
      <c r="K227" s="0" t="s">
        <v>1236</v>
      </c>
      <c r="L227" s="0" t="s">
        <v>119</v>
      </c>
      <c r="M227" s="5" t="n">
        <v>899</v>
      </c>
      <c r="N227" s="0" t="n">
        <v>2</v>
      </c>
      <c r="O227" s="0" t="s">
        <v>91</v>
      </c>
      <c r="P227" s="0" t="n">
        <v>2</v>
      </c>
      <c r="Q227" s="5" t="n">
        <v>50</v>
      </c>
      <c r="R227" s="4" t="n">
        <v>45689</v>
      </c>
      <c r="S227" s="0" t="s">
        <v>1237</v>
      </c>
      <c r="T227" s="0" t="n">
        <f aca="false">R227-J227</f>
        <v>2</v>
      </c>
      <c r="U227" s="5" t="n">
        <f aca="false">M227*N227</f>
        <v>1798</v>
      </c>
      <c r="V227" s="6" t="n">
        <f aca="false">IF(O227="FLAT5",5%,IF(O227="FLAT10",10%,IF(O227="FLAT15",15%,IF(O227="FLAT20",20%,0))))</f>
        <v>0.1</v>
      </c>
      <c r="W227" s="5" t="n">
        <f aca="false">U227*(1-V227)</f>
        <v>1618.2</v>
      </c>
      <c r="X227" s="5" t="n">
        <f aca="false">W227+IF(O227="DEL0",0,Q227)</f>
        <v>1668.2</v>
      </c>
      <c r="Y227" s="0" t="str">
        <f aca="false">B227&amp;" "&amp;C227</f>
        <v>Rahul Rao</v>
      </c>
      <c r="Z227" s="0" t="str">
        <f aca="false">IF(T227&lt;P227,"BeforeTime",IF(T227=P227,"Intime","Late"))</f>
        <v>Intime</v>
      </c>
      <c r="AA227" s="0" t="str">
        <f aca="false">TEXT(J227,"mmm")</f>
        <v>Jan</v>
      </c>
      <c r="AB227" s="0" t="e">
        <f aca="false">xlookup(L227,Products!A:A,Products!B:B,"")</f>
        <v>#NAME?</v>
      </c>
    </row>
    <row r="228" customFormat="false" ht="15" hidden="false" customHeight="false" outlineLevel="0" collapsed="false">
      <c r="A228" s="0" t="s">
        <v>980</v>
      </c>
      <c r="B228" s="0" t="s">
        <v>57</v>
      </c>
      <c r="C228" s="0" t="s">
        <v>195</v>
      </c>
      <c r="D228" s="0" t="n">
        <v>47</v>
      </c>
      <c r="E228" s="0" t="s">
        <v>48</v>
      </c>
      <c r="F228" s="0" t="s">
        <v>160</v>
      </c>
      <c r="G228" s="0" t="s">
        <v>1238</v>
      </c>
      <c r="H228" s="0" t="s">
        <v>1064</v>
      </c>
      <c r="I228" s="0" t="s">
        <v>1239</v>
      </c>
      <c r="J228" s="4" t="n">
        <v>45677</v>
      </c>
      <c r="K228" s="0" t="s">
        <v>1240</v>
      </c>
      <c r="L228" s="0" t="s">
        <v>136</v>
      </c>
      <c r="M228" s="5" t="n">
        <v>1799</v>
      </c>
      <c r="N228" s="0" t="n">
        <v>4</v>
      </c>
      <c r="O228" s="0" t="s">
        <v>91</v>
      </c>
      <c r="P228" s="0" t="n">
        <v>6</v>
      </c>
      <c r="Q228" s="5" t="n">
        <v>60</v>
      </c>
      <c r="R228" s="4" t="n">
        <v>45683</v>
      </c>
      <c r="S228" s="0" t="s">
        <v>1241</v>
      </c>
      <c r="T228" s="0" t="n">
        <f aca="false">R228-J228</f>
        <v>6</v>
      </c>
      <c r="U228" s="5" t="n">
        <f aca="false">M228*N228</f>
        <v>7196</v>
      </c>
      <c r="V228" s="6" t="n">
        <f aca="false">IF(O228="FLAT5",5%,IF(O228="FLAT10",10%,IF(O228="FLAT15",15%,IF(O228="FLAT20",20%,0))))</f>
        <v>0.1</v>
      </c>
      <c r="W228" s="5" t="n">
        <f aca="false">U228*(1-V228)</f>
        <v>6476.4</v>
      </c>
      <c r="X228" s="5" t="n">
        <f aca="false">W228+IF(O228="DEL0",0,Q228)</f>
        <v>6536.4</v>
      </c>
      <c r="Y228" s="0" t="str">
        <f aca="false">B228&amp;" "&amp;C228</f>
        <v>Arjun Singh</v>
      </c>
      <c r="Z228" s="0" t="str">
        <f aca="false">IF(T228&lt;P228,"BeforeTime",IF(T228=P228,"Intime","Late"))</f>
        <v>Intime</v>
      </c>
      <c r="AA228" s="0" t="str">
        <f aca="false">TEXT(J228,"mmm")</f>
        <v>Jan</v>
      </c>
      <c r="AB228" s="0" t="e">
        <f aca="false">xlookup(L228,Products!A:A,Products!B:B,"")</f>
        <v>#NAME?</v>
      </c>
    </row>
    <row r="229" customFormat="false" ht="15" hidden="false" customHeight="false" outlineLevel="0" collapsed="false">
      <c r="A229" s="0" t="s">
        <v>1130</v>
      </c>
      <c r="B229" s="0" t="s">
        <v>139</v>
      </c>
      <c r="C229" s="0" t="s">
        <v>35</v>
      </c>
      <c r="D229" s="0" t="n">
        <v>35</v>
      </c>
      <c r="E229" s="0" t="s">
        <v>36</v>
      </c>
      <c r="F229" s="0" t="s">
        <v>59</v>
      </c>
      <c r="G229" s="0" t="s">
        <v>1242</v>
      </c>
      <c r="H229" s="0" t="s">
        <v>1243</v>
      </c>
      <c r="I229" s="0" t="s">
        <v>1244</v>
      </c>
      <c r="J229" s="4" t="n">
        <v>45915</v>
      </c>
      <c r="K229" s="0" t="s">
        <v>444</v>
      </c>
      <c r="L229" s="0" t="s">
        <v>72</v>
      </c>
      <c r="M229" s="5" t="n">
        <v>1299</v>
      </c>
      <c r="N229" s="0" t="n">
        <v>2</v>
      </c>
      <c r="O229" s="0" t="s">
        <v>83</v>
      </c>
      <c r="P229" s="0" t="n">
        <v>6</v>
      </c>
      <c r="Q229" s="5" t="n">
        <v>40</v>
      </c>
      <c r="R229" s="4" t="n">
        <v>45921</v>
      </c>
      <c r="S229" s="0" t="s">
        <v>1245</v>
      </c>
      <c r="T229" s="0" t="n">
        <f aca="false">R229-J229</f>
        <v>6</v>
      </c>
      <c r="U229" s="5" t="n">
        <f aca="false">M229*N229</f>
        <v>2598</v>
      </c>
      <c r="V229" s="6" t="n">
        <f aca="false">IF(O229="FLAT5",5%,IF(O229="FLAT10",10%,IF(O229="FLAT15",15%,IF(O229="FLAT20",20%,0))))</f>
        <v>0.05</v>
      </c>
      <c r="W229" s="5" t="n">
        <f aca="false">U229*(1-V229)</f>
        <v>2468.1</v>
      </c>
      <c r="X229" s="5" t="n">
        <f aca="false">W229+IF(O229="DEL0",0,Q229)</f>
        <v>2508.1</v>
      </c>
      <c r="Y229" s="0" t="str">
        <f aca="false">B229&amp;" "&amp;C229</f>
        <v>Aarav Sharma</v>
      </c>
      <c r="Z229" s="0" t="str">
        <f aca="false">IF(T229&lt;P229,"BeforeTime",IF(T229=P229,"Intime","Late"))</f>
        <v>Intime</v>
      </c>
      <c r="AA229" s="0" t="str">
        <f aca="false">TEXT(J229,"mmm")</f>
        <v>Sep</v>
      </c>
      <c r="AB229" s="0" t="e">
        <f aca="false">xlookup(L229,Products!A:A,Products!B:B,"")</f>
        <v>#NAME?</v>
      </c>
    </row>
    <row r="230" customFormat="false" ht="15" hidden="false" customHeight="false" outlineLevel="0" collapsed="false">
      <c r="A230" s="0" t="s">
        <v>1246</v>
      </c>
      <c r="B230" s="0" t="s">
        <v>104</v>
      </c>
      <c r="C230" s="0" t="s">
        <v>229</v>
      </c>
      <c r="D230" s="0" t="n">
        <v>47</v>
      </c>
      <c r="E230" s="0" t="s">
        <v>36</v>
      </c>
      <c r="F230" s="0" t="s">
        <v>59</v>
      </c>
      <c r="G230" s="0" t="s">
        <v>1247</v>
      </c>
      <c r="H230" s="0" t="s">
        <v>1248</v>
      </c>
      <c r="I230" s="0" t="s">
        <v>1249</v>
      </c>
      <c r="J230" s="4" t="n">
        <v>45742</v>
      </c>
      <c r="K230" s="0" t="s">
        <v>1250</v>
      </c>
      <c r="L230" s="0" t="s">
        <v>53</v>
      </c>
      <c r="M230" s="5" t="n">
        <v>2499</v>
      </c>
      <c r="N230" s="0" t="n">
        <v>3</v>
      </c>
      <c r="O230" s="0" t="s">
        <v>54</v>
      </c>
      <c r="P230" s="0" t="n">
        <v>5</v>
      </c>
      <c r="Q230" s="5" t="n">
        <v>0</v>
      </c>
      <c r="R230" s="4" t="n">
        <v>45744</v>
      </c>
      <c r="S230" s="0" t="s">
        <v>410</v>
      </c>
      <c r="T230" s="0" t="n">
        <f aca="false">R230-J230</f>
        <v>2</v>
      </c>
      <c r="U230" s="5" t="n">
        <f aca="false">M230*N230</f>
        <v>7497</v>
      </c>
      <c r="V230" s="6" t="n">
        <f aca="false">IF(O230="FLAT5",5%,IF(O230="FLAT10",10%,IF(O230="FLAT15",15%,IF(O230="FLAT20",20%,0))))</f>
        <v>0</v>
      </c>
      <c r="W230" s="5" t="n">
        <f aca="false">U230*(1-V230)</f>
        <v>7497</v>
      </c>
      <c r="X230" s="5" t="n">
        <f aca="false">W230+IF(O230="DEL0",0,Q230)</f>
        <v>7497</v>
      </c>
      <c r="Y230" s="0" t="str">
        <f aca="false">B230&amp;" "&amp;C230</f>
        <v>Keerthi Joshi</v>
      </c>
      <c r="Z230" s="0" t="str">
        <f aca="false">IF(T230&lt;P230,"BeforeTime",IF(T230=P230,"Intime","Late"))</f>
        <v>BeforeTime</v>
      </c>
      <c r="AA230" s="0" t="str">
        <f aca="false">TEXT(J230,"mmm")</f>
        <v>Mar</v>
      </c>
      <c r="AB230" s="0" t="e">
        <f aca="false">xlookup(L230,Products!A:A,Products!B:B,"")</f>
        <v>#NAME?</v>
      </c>
    </row>
    <row r="231" customFormat="false" ht="15" hidden="false" customHeight="false" outlineLevel="0" collapsed="false">
      <c r="A231" s="0" t="s">
        <v>166</v>
      </c>
      <c r="B231" s="0" t="s">
        <v>582</v>
      </c>
      <c r="C231" s="0" t="s">
        <v>261</v>
      </c>
      <c r="D231" s="0" t="n">
        <v>43</v>
      </c>
      <c r="E231" s="0" t="s">
        <v>36</v>
      </c>
      <c r="F231" s="0" t="s">
        <v>160</v>
      </c>
      <c r="G231" s="0" t="s">
        <v>1251</v>
      </c>
      <c r="H231" s="0" t="s">
        <v>1252</v>
      </c>
      <c r="I231" s="0" t="s">
        <v>1253</v>
      </c>
      <c r="J231" s="4" t="n">
        <v>45977</v>
      </c>
      <c r="K231" s="0" t="s">
        <v>1254</v>
      </c>
      <c r="L231" s="0" t="s">
        <v>119</v>
      </c>
      <c r="M231" s="5" t="n">
        <v>899</v>
      </c>
      <c r="N231" s="0" t="n">
        <v>3</v>
      </c>
      <c r="O231" s="0" t="s">
        <v>54</v>
      </c>
      <c r="P231" s="0" t="n">
        <v>2</v>
      </c>
      <c r="Q231" s="5" t="n">
        <v>0</v>
      </c>
      <c r="R231" s="4" t="n">
        <v>45979</v>
      </c>
      <c r="S231" s="0" t="s">
        <v>713</v>
      </c>
      <c r="T231" s="0" t="n">
        <f aca="false">R231-J231</f>
        <v>2</v>
      </c>
      <c r="U231" s="5" t="n">
        <f aca="false">M231*N231</f>
        <v>2697</v>
      </c>
      <c r="V231" s="6" t="n">
        <f aca="false">IF(O231="FLAT5",5%,IF(O231="FLAT10",10%,IF(O231="FLAT15",15%,IF(O231="FLAT20",20%,0))))</f>
        <v>0</v>
      </c>
      <c r="W231" s="5" t="n">
        <f aca="false">U231*(1-V231)</f>
        <v>2697</v>
      </c>
      <c r="X231" s="5" t="n">
        <f aca="false">W231+IF(O231="DEL0",0,Q231)</f>
        <v>2697</v>
      </c>
      <c r="Y231" s="0" t="str">
        <f aca="false">B231&amp;" "&amp;C231</f>
        <v>Kavya Kumar</v>
      </c>
      <c r="Z231" s="0" t="str">
        <f aca="false">IF(T231&lt;P231,"BeforeTime",IF(T231=P231,"Intime","Late"))</f>
        <v>Intime</v>
      </c>
      <c r="AA231" s="0" t="str">
        <f aca="false">TEXT(J231,"mmm")</f>
        <v>Nov</v>
      </c>
      <c r="AB231" s="0" t="e">
        <f aca="false">xlookup(L231,Products!A:A,Products!B:B,"")</f>
        <v>#NAME?</v>
      </c>
    </row>
    <row r="232" customFormat="false" ht="15" hidden="false" customHeight="false" outlineLevel="0" collapsed="false">
      <c r="A232" s="0" t="s">
        <v>180</v>
      </c>
      <c r="B232" s="0" t="s">
        <v>34</v>
      </c>
      <c r="C232" s="0" t="s">
        <v>95</v>
      </c>
      <c r="D232" s="0" t="n">
        <v>48</v>
      </c>
      <c r="E232" s="0" t="s">
        <v>48</v>
      </c>
      <c r="F232" s="0" t="s">
        <v>140</v>
      </c>
      <c r="G232" s="0" t="s">
        <v>1255</v>
      </c>
      <c r="H232" s="0" t="s">
        <v>696</v>
      </c>
      <c r="I232" s="0" t="s">
        <v>1256</v>
      </c>
      <c r="J232" s="4" t="n">
        <v>45736</v>
      </c>
      <c r="K232" s="0" t="s">
        <v>1257</v>
      </c>
      <c r="L232" s="0" t="s">
        <v>240</v>
      </c>
      <c r="M232" s="5" t="n">
        <v>4999</v>
      </c>
      <c r="N232" s="0" t="n">
        <v>3</v>
      </c>
      <c r="O232" s="0" t="s">
        <v>101</v>
      </c>
      <c r="P232" s="0" t="n">
        <v>3</v>
      </c>
      <c r="Q232" s="5" t="n">
        <v>120</v>
      </c>
      <c r="R232" s="4" t="n">
        <v>45739</v>
      </c>
      <c r="S232" s="0" t="s">
        <v>1258</v>
      </c>
      <c r="T232" s="0" t="n">
        <f aca="false">R232-J232</f>
        <v>3</v>
      </c>
      <c r="U232" s="5" t="n">
        <f aca="false">M232*N232</f>
        <v>14997</v>
      </c>
      <c r="V232" s="6" t="n">
        <f aca="false">IF(O232="FLAT5",5%,IF(O232="FLAT10",10%,IF(O232="FLAT15",15%,IF(O232="FLAT20",20%,0))))</f>
        <v>0.15</v>
      </c>
      <c r="W232" s="5" t="n">
        <f aca="false">U232*(1-V232)</f>
        <v>12747.45</v>
      </c>
      <c r="X232" s="5" t="n">
        <f aca="false">W232+IF(O232="DEL0",0,Q232)</f>
        <v>12867.45</v>
      </c>
      <c r="Y232" s="0" t="str">
        <f aca="false">B232&amp;" "&amp;C232</f>
        <v>Diya Mishra</v>
      </c>
      <c r="Z232" s="0" t="str">
        <f aca="false">IF(T232&lt;P232,"BeforeTime",IF(T232=P232,"Intime","Late"))</f>
        <v>Intime</v>
      </c>
      <c r="AA232" s="0" t="str">
        <f aca="false">TEXT(J232,"mmm")</f>
        <v>Mar</v>
      </c>
      <c r="AB232" s="0" t="e">
        <f aca="false">xlookup(L232,Products!A:A,Products!B:B,"")</f>
        <v>#NAME?</v>
      </c>
    </row>
    <row r="233" customFormat="false" ht="15" hidden="false" customHeight="false" outlineLevel="0" collapsed="false">
      <c r="A233" s="0" t="s">
        <v>1259</v>
      </c>
      <c r="B233" s="0" t="s">
        <v>75</v>
      </c>
      <c r="C233" s="0" t="s">
        <v>195</v>
      </c>
      <c r="D233" s="0" t="n">
        <v>46</v>
      </c>
      <c r="E233" s="0" t="s">
        <v>36</v>
      </c>
      <c r="F233" s="0" t="s">
        <v>77</v>
      </c>
      <c r="G233" s="0" t="s">
        <v>1260</v>
      </c>
      <c r="H233" s="0" t="s">
        <v>1226</v>
      </c>
      <c r="I233" s="0" t="s">
        <v>1261</v>
      </c>
      <c r="J233" s="4" t="n">
        <v>45712</v>
      </c>
      <c r="K233" s="0" t="s">
        <v>1262</v>
      </c>
      <c r="L233" s="0" t="s">
        <v>82</v>
      </c>
      <c r="M233" s="5" t="n">
        <v>1199</v>
      </c>
      <c r="N233" s="0" t="n">
        <v>1</v>
      </c>
      <c r="O233" s="0" t="s">
        <v>91</v>
      </c>
      <c r="P233" s="0" t="n">
        <v>5</v>
      </c>
      <c r="Q233" s="5" t="n">
        <v>50</v>
      </c>
      <c r="R233" s="4" t="n">
        <v>45717</v>
      </c>
      <c r="S233" s="0" t="s">
        <v>1263</v>
      </c>
      <c r="T233" s="0" t="n">
        <f aca="false">R233-J233</f>
        <v>5</v>
      </c>
      <c r="U233" s="5" t="n">
        <f aca="false">M233*N233</f>
        <v>1199</v>
      </c>
      <c r="V233" s="6" t="n">
        <f aca="false">IF(O233="FLAT5",5%,IF(O233="FLAT10",10%,IF(O233="FLAT15",15%,IF(O233="FLAT20",20%,0))))</f>
        <v>0.1</v>
      </c>
      <c r="W233" s="5" t="n">
        <f aca="false">U233*(1-V233)</f>
        <v>1079.1</v>
      </c>
      <c r="X233" s="5" t="n">
        <f aca="false">W233+IF(O233="DEL0",0,Q233)</f>
        <v>1129.1</v>
      </c>
      <c r="Y233" s="0" t="str">
        <f aca="false">B233&amp;" "&amp;C233</f>
        <v>Vikram Singh</v>
      </c>
      <c r="Z233" s="0" t="str">
        <f aca="false">IF(T233&lt;P233,"BeforeTime",IF(T233=P233,"Intime","Late"))</f>
        <v>Intime</v>
      </c>
      <c r="AA233" s="0" t="str">
        <f aca="false">TEXT(J233,"mmm")</f>
        <v>Feb</v>
      </c>
      <c r="AB233" s="0" t="e">
        <f aca="false">xlookup(L233,Products!A:A,Products!B:B,"")</f>
        <v>#NAME?</v>
      </c>
    </row>
    <row r="234" customFormat="false" ht="15" hidden="false" customHeight="false" outlineLevel="0" collapsed="false">
      <c r="A234" s="0" t="s">
        <v>1264</v>
      </c>
      <c r="B234" s="0" t="s">
        <v>122</v>
      </c>
      <c r="C234" s="0" t="s">
        <v>113</v>
      </c>
      <c r="D234" s="0" t="n">
        <v>22</v>
      </c>
      <c r="E234" s="0" t="s">
        <v>48</v>
      </c>
      <c r="F234" s="0" t="s">
        <v>37</v>
      </c>
      <c r="G234" s="0" t="s">
        <v>1265</v>
      </c>
      <c r="H234" s="0" t="s">
        <v>1266</v>
      </c>
      <c r="I234" s="0" t="s">
        <v>1267</v>
      </c>
      <c r="J234" s="4" t="n">
        <v>45659</v>
      </c>
      <c r="K234" s="0" t="s">
        <v>890</v>
      </c>
      <c r="L234" s="0" t="s">
        <v>82</v>
      </c>
      <c r="M234" s="5" t="n">
        <v>1199</v>
      </c>
      <c r="N234" s="0" t="n">
        <v>4</v>
      </c>
      <c r="O234" s="0" t="s">
        <v>91</v>
      </c>
      <c r="P234" s="0" t="n">
        <v>2</v>
      </c>
      <c r="Q234" s="5" t="n">
        <v>40</v>
      </c>
      <c r="R234" s="4" t="n">
        <v>45661</v>
      </c>
      <c r="S234" s="0" t="s">
        <v>99</v>
      </c>
      <c r="T234" s="0" t="n">
        <f aca="false">R234-J234</f>
        <v>2</v>
      </c>
      <c r="U234" s="5" t="n">
        <f aca="false">M234*N234</f>
        <v>4796</v>
      </c>
      <c r="V234" s="6" t="n">
        <f aca="false">IF(O234="FLAT5",5%,IF(O234="FLAT10",10%,IF(O234="FLAT15",15%,IF(O234="FLAT20",20%,0))))</f>
        <v>0.1</v>
      </c>
      <c r="W234" s="5" t="n">
        <f aca="false">U234*(1-V234)</f>
        <v>4316.4</v>
      </c>
      <c r="X234" s="5" t="n">
        <f aca="false">W234+IF(O234="DEL0",0,Q234)</f>
        <v>4356.4</v>
      </c>
      <c r="Y234" s="0" t="str">
        <f aca="false">B234&amp;" "&amp;C234</f>
        <v>Meera Rao</v>
      </c>
      <c r="Z234" s="0" t="str">
        <f aca="false">IF(T234&lt;P234,"BeforeTime",IF(T234=P234,"Intime","Late"))</f>
        <v>Intime</v>
      </c>
      <c r="AA234" s="0" t="str">
        <f aca="false">TEXT(J234,"mmm")</f>
        <v>Jan</v>
      </c>
      <c r="AB234" s="0" t="e">
        <f aca="false">xlookup(L234,Products!A:A,Products!B:B,"")</f>
        <v>#NAME?</v>
      </c>
    </row>
    <row r="235" customFormat="false" ht="15" hidden="false" customHeight="false" outlineLevel="0" collapsed="false">
      <c r="A235" s="0" t="s">
        <v>512</v>
      </c>
      <c r="B235" s="0" t="s">
        <v>34</v>
      </c>
      <c r="C235" s="0" t="s">
        <v>181</v>
      </c>
      <c r="D235" s="0" t="n">
        <v>34</v>
      </c>
      <c r="E235" s="0" t="s">
        <v>48</v>
      </c>
      <c r="F235" s="0" t="s">
        <v>114</v>
      </c>
      <c r="G235" s="0" t="s">
        <v>1268</v>
      </c>
      <c r="H235" s="0" t="s">
        <v>1269</v>
      </c>
      <c r="I235" s="0" t="s">
        <v>1270</v>
      </c>
      <c r="J235" s="4" t="n">
        <v>45747</v>
      </c>
      <c r="K235" s="0" t="s">
        <v>221</v>
      </c>
      <c r="L235" s="0" t="s">
        <v>72</v>
      </c>
      <c r="M235" s="5" t="n">
        <v>1299</v>
      </c>
      <c r="N235" s="0" t="n">
        <v>4</v>
      </c>
      <c r="O235" s="0" t="s">
        <v>83</v>
      </c>
      <c r="P235" s="0" t="n">
        <v>2</v>
      </c>
      <c r="Q235" s="5" t="n">
        <v>120</v>
      </c>
      <c r="R235" s="4" t="n">
        <v>45752</v>
      </c>
      <c r="S235" s="0" t="s">
        <v>1271</v>
      </c>
      <c r="T235" s="0" t="n">
        <f aca="false">R235-J235</f>
        <v>5</v>
      </c>
      <c r="U235" s="5" t="n">
        <f aca="false">M235*N235</f>
        <v>5196</v>
      </c>
      <c r="V235" s="6" t="n">
        <f aca="false">IF(O235="FLAT5",5%,IF(O235="FLAT10",10%,IF(O235="FLAT15",15%,IF(O235="FLAT20",20%,0))))</f>
        <v>0.05</v>
      </c>
      <c r="W235" s="5" t="n">
        <f aca="false">U235*(1-V235)</f>
        <v>4936.2</v>
      </c>
      <c r="X235" s="5" t="n">
        <f aca="false">W235+IF(O235="DEL0",0,Q235)</f>
        <v>5056.2</v>
      </c>
      <c r="Y235" s="0" t="str">
        <f aca="false">B235&amp;" "&amp;C235</f>
        <v>Diya Gupta</v>
      </c>
      <c r="Z235" s="0" t="str">
        <f aca="false">IF(T235&lt;P235,"BeforeTime",IF(T235=P235,"Intime","Late"))</f>
        <v>Late</v>
      </c>
      <c r="AA235" s="0" t="str">
        <f aca="false">TEXT(J235,"mmm")</f>
        <v>Mar</v>
      </c>
      <c r="AB235" s="0" t="e">
        <f aca="false">xlookup(L235,Products!A:A,Products!B:B,"")</f>
        <v>#NAME?</v>
      </c>
    </row>
    <row r="236" customFormat="false" ht="15" hidden="false" customHeight="false" outlineLevel="0" collapsed="false">
      <c r="A236" s="0" t="s">
        <v>1272</v>
      </c>
      <c r="B236" s="0" t="s">
        <v>209</v>
      </c>
      <c r="C236" s="0" t="s">
        <v>113</v>
      </c>
      <c r="D236" s="0" t="n">
        <v>41</v>
      </c>
      <c r="E236" s="0" t="s">
        <v>48</v>
      </c>
      <c r="F236" s="0" t="s">
        <v>248</v>
      </c>
      <c r="G236" s="0" t="s">
        <v>1273</v>
      </c>
      <c r="H236" s="0" t="s">
        <v>810</v>
      </c>
      <c r="I236" s="0" t="s">
        <v>1274</v>
      </c>
      <c r="J236" s="4" t="n">
        <v>45705</v>
      </c>
      <c r="K236" s="0" t="s">
        <v>621</v>
      </c>
      <c r="L236" s="0" t="s">
        <v>64</v>
      </c>
      <c r="M236" s="5" t="n">
        <v>2799</v>
      </c>
      <c r="N236" s="0" t="n">
        <v>3</v>
      </c>
      <c r="O236" s="0" t="s">
        <v>259</v>
      </c>
      <c r="P236" s="0" t="n">
        <v>4</v>
      </c>
      <c r="Q236" s="5" t="n">
        <v>40</v>
      </c>
      <c r="R236" s="4" t="n">
        <v>45711</v>
      </c>
      <c r="S236" s="0" t="s">
        <v>1275</v>
      </c>
      <c r="T236" s="0" t="n">
        <f aca="false">R236-J236</f>
        <v>6</v>
      </c>
      <c r="U236" s="5" t="n">
        <f aca="false">M236*N236</f>
        <v>8397</v>
      </c>
      <c r="V236" s="6" t="n">
        <f aca="false">IF(O236="FLAT5",5%,IF(O236="FLAT10",10%,IF(O236="FLAT15",15%,IF(O236="FLAT20",20%,0))))</f>
        <v>0</v>
      </c>
      <c r="W236" s="5" t="n">
        <f aca="false">U236*(1-V236)</f>
        <v>8397</v>
      </c>
      <c r="X236" s="5" t="n">
        <f aca="false">W236+IF(O236="DEL0",0,Q236)</f>
        <v>8437</v>
      </c>
      <c r="Y236" s="0" t="str">
        <f aca="false">B236&amp;" "&amp;C236</f>
        <v>Ishaan Rao</v>
      </c>
      <c r="Z236" s="0" t="str">
        <f aca="false">IF(T236&lt;P236,"BeforeTime",IF(T236=P236,"Intime","Late"))</f>
        <v>Late</v>
      </c>
      <c r="AA236" s="0" t="str">
        <f aca="false">TEXT(J236,"mmm")</f>
        <v>Feb</v>
      </c>
      <c r="AB236" s="0" t="e">
        <f aca="false">xlookup(L236,Products!A:A,Products!B:B,"")</f>
        <v>#NAME?</v>
      </c>
    </row>
    <row r="237" customFormat="false" ht="15" hidden="false" customHeight="false" outlineLevel="0" collapsed="false">
      <c r="A237" s="0" t="s">
        <v>1276</v>
      </c>
      <c r="B237" s="0" t="s">
        <v>147</v>
      </c>
      <c r="C237" s="0" t="s">
        <v>95</v>
      </c>
      <c r="D237" s="0" t="n">
        <v>30</v>
      </c>
      <c r="E237" s="0" t="s">
        <v>36</v>
      </c>
      <c r="F237" s="0" t="s">
        <v>262</v>
      </c>
      <c r="G237" s="0" t="s">
        <v>1277</v>
      </c>
      <c r="H237" s="0" t="s">
        <v>1278</v>
      </c>
      <c r="I237" s="0" t="s">
        <v>1279</v>
      </c>
      <c r="J237" s="4" t="n">
        <v>45739</v>
      </c>
      <c r="K237" s="0" t="s">
        <v>292</v>
      </c>
      <c r="L237" s="0" t="s">
        <v>82</v>
      </c>
      <c r="M237" s="5" t="n">
        <v>1199</v>
      </c>
      <c r="N237" s="0" t="n">
        <v>1</v>
      </c>
      <c r="O237" s="0" t="s">
        <v>259</v>
      </c>
      <c r="P237" s="0" t="n">
        <v>2</v>
      </c>
      <c r="Q237" s="5" t="n">
        <v>90</v>
      </c>
      <c r="R237" s="4" t="n">
        <v>45741</v>
      </c>
      <c r="S237" s="0" t="s">
        <v>1280</v>
      </c>
      <c r="T237" s="0" t="n">
        <f aca="false">R237-J237</f>
        <v>2</v>
      </c>
      <c r="U237" s="5" t="n">
        <f aca="false">M237*N237</f>
        <v>1199</v>
      </c>
      <c r="V237" s="6" t="n">
        <f aca="false">IF(O237="FLAT5",5%,IF(O237="FLAT10",10%,IF(O237="FLAT15",15%,IF(O237="FLAT20",20%,0))))</f>
        <v>0</v>
      </c>
      <c r="W237" s="5" t="n">
        <f aca="false">U237*(1-V237)</f>
        <v>1199</v>
      </c>
      <c r="X237" s="5" t="n">
        <f aca="false">W237+IF(O237="DEL0",0,Q237)</f>
        <v>1289</v>
      </c>
      <c r="Y237" s="0" t="str">
        <f aca="false">B237&amp;" "&amp;C237</f>
        <v>Pooja Mishra</v>
      </c>
      <c r="Z237" s="0" t="str">
        <f aca="false">IF(T237&lt;P237,"BeforeTime",IF(T237=P237,"Intime","Late"))</f>
        <v>Intime</v>
      </c>
      <c r="AA237" s="0" t="str">
        <f aca="false">TEXT(J237,"mmm")</f>
        <v>Mar</v>
      </c>
      <c r="AB237" s="0" t="e">
        <f aca="false">xlookup(L237,Products!A:A,Products!B:B,"")</f>
        <v>#NAME?</v>
      </c>
    </row>
    <row r="238" customFormat="false" ht="15" hidden="false" customHeight="false" outlineLevel="0" collapsed="false">
      <c r="A238" s="0" t="s">
        <v>1004</v>
      </c>
      <c r="B238" s="0" t="s">
        <v>67</v>
      </c>
      <c r="C238" s="0" t="s">
        <v>35</v>
      </c>
      <c r="D238" s="0" t="n">
        <v>28</v>
      </c>
      <c r="E238" s="0" t="s">
        <v>48</v>
      </c>
      <c r="F238" s="0" t="s">
        <v>248</v>
      </c>
      <c r="G238" s="0" t="s">
        <v>1281</v>
      </c>
      <c r="H238" s="0" t="s">
        <v>539</v>
      </c>
      <c r="I238" s="0" t="s">
        <v>1282</v>
      </c>
      <c r="J238" s="4" t="n">
        <v>45690</v>
      </c>
      <c r="K238" s="0" t="s">
        <v>1283</v>
      </c>
      <c r="L238" s="0" t="s">
        <v>129</v>
      </c>
      <c r="M238" s="5" t="n">
        <v>2999</v>
      </c>
      <c r="N238" s="0" t="n">
        <v>4</v>
      </c>
      <c r="O238" s="0" t="s">
        <v>101</v>
      </c>
      <c r="P238" s="0" t="n">
        <v>4</v>
      </c>
      <c r="Q238" s="5" t="n">
        <v>40</v>
      </c>
      <c r="R238" s="4" t="n">
        <v>45694</v>
      </c>
      <c r="S238" s="0" t="s">
        <v>1284</v>
      </c>
      <c r="T238" s="0" t="n">
        <f aca="false">R238-J238</f>
        <v>4</v>
      </c>
      <c r="U238" s="5" t="n">
        <f aca="false">M238*N238</f>
        <v>11996</v>
      </c>
      <c r="V238" s="6" t="n">
        <f aca="false">IF(O238="FLAT5",5%,IF(O238="FLAT10",10%,IF(O238="FLAT15",15%,IF(O238="FLAT20",20%,0))))</f>
        <v>0.15</v>
      </c>
      <c r="W238" s="5" t="n">
        <f aca="false">U238*(1-V238)</f>
        <v>10196.6</v>
      </c>
      <c r="X238" s="5" t="n">
        <f aca="false">W238+IF(O238="DEL0",0,Q238)</f>
        <v>10236.6</v>
      </c>
      <c r="Y238" s="0" t="str">
        <f aca="false">B238&amp;" "&amp;C238</f>
        <v>Priya Sharma</v>
      </c>
      <c r="Z238" s="0" t="str">
        <f aca="false">IF(T238&lt;P238,"BeforeTime",IF(T238=P238,"Intime","Late"))</f>
        <v>Intime</v>
      </c>
      <c r="AA238" s="0" t="str">
        <f aca="false">TEXT(J238,"mmm")</f>
        <v>Feb</v>
      </c>
      <c r="AB238" s="0" t="e">
        <f aca="false">xlookup(L238,Products!A:A,Products!B:B,"")</f>
        <v>#NAME?</v>
      </c>
    </row>
    <row r="239" customFormat="false" ht="15" hidden="false" customHeight="false" outlineLevel="0" collapsed="false">
      <c r="A239" s="0" t="s">
        <v>1285</v>
      </c>
      <c r="B239" s="0" t="s">
        <v>94</v>
      </c>
      <c r="C239" s="0" t="s">
        <v>123</v>
      </c>
      <c r="D239" s="0" t="n">
        <v>41</v>
      </c>
      <c r="E239" s="0" t="s">
        <v>36</v>
      </c>
      <c r="F239" s="0" t="s">
        <v>160</v>
      </c>
      <c r="G239" s="0" t="s">
        <v>1286</v>
      </c>
      <c r="H239" s="0" t="s">
        <v>519</v>
      </c>
      <c r="I239" s="0" t="s">
        <v>1287</v>
      </c>
      <c r="J239" s="4" t="n">
        <v>45997</v>
      </c>
      <c r="K239" s="0" t="s">
        <v>854</v>
      </c>
      <c r="L239" s="0" t="s">
        <v>119</v>
      </c>
      <c r="M239" s="5" t="n">
        <v>899</v>
      </c>
      <c r="N239" s="0" t="n">
        <v>2</v>
      </c>
      <c r="O239" s="0" t="s">
        <v>101</v>
      </c>
      <c r="P239" s="0" t="n">
        <v>7</v>
      </c>
      <c r="Q239" s="5" t="n">
        <v>50</v>
      </c>
      <c r="R239" s="4" t="n">
        <v>46004</v>
      </c>
      <c r="S239" s="0" t="s">
        <v>1288</v>
      </c>
      <c r="T239" s="0" t="n">
        <f aca="false">R239-J239</f>
        <v>7</v>
      </c>
      <c r="U239" s="5" t="n">
        <f aca="false">M239*N239</f>
        <v>1798</v>
      </c>
      <c r="V239" s="6" t="n">
        <f aca="false">IF(O239="FLAT5",5%,IF(O239="FLAT10",10%,IF(O239="FLAT15",15%,IF(O239="FLAT20",20%,0))))</f>
        <v>0.15</v>
      </c>
      <c r="W239" s="5" t="n">
        <f aca="false">U239*(1-V239)</f>
        <v>1528.3</v>
      </c>
      <c r="X239" s="5" t="n">
        <f aca="false">W239+IF(O239="DEL0",0,Q239)</f>
        <v>1578.3</v>
      </c>
      <c r="Y239" s="0" t="str">
        <f aca="false">B239&amp;" "&amp;C239</f>
        <v>Manoj Nair</v>
      </c>
      <c r="Z239" s="0" t="str">
        <f aca="false">IF(T239&lt;P239,"BeforeTime",IF(T239=P239,"Intime","Late"))</f>
        <v>Intime</v>
      </c>
      <c r="AA239" s="0" t="str">
        <f aca="false">TEXT(J239,"mmm")</f>
        <v>Dec</v>
      </c>
      <c r="AB239" s="0" t="e">
        <f aca="false">xlookup(L239,Products!A:A,Products!B:B,"")</f>
        <v>#NAME?</v>
      </c>
    </row>
    <row r="240" customFormat="false" ht="15" hidden="false" customHeight="false" outlineLevel="0" collapsed="false">
      <c r="A240" s="0" t="s">
        <v>1289</v>
      </c>
      <c r="B240" s="0" t="s">
        <v>582</v>
      </c>
      <c r="C240" s="0" t="s">
        <v>167</v>
      </c>
      <c r="D240" s="0" t="n">
        <v>51</v>
      </c>
      <c r="E240" s="0" t="s">
        <v>36</v>
      </c>
      <c r="F240" s="0" t="s">
        <v>140</v>
      </c>
      <c r="G240" s="0" t="s">
        <v>1290</v>
      </c>
      <c r="H240" s="0" t="s">
        <v>1291</v>
      </c>
      <c r="I240" s="0" t="s">
        <v>1292</v>
      </c>
      <c r="J240" s="4" t="n">
        <v>45800</v>
      </c>
      <c r="K240" s="0" t="s">
        <v>1293</v>
      </c>
      <c r="L240" s="0" t="s">
        <v>53</v>
      </c>
      <c r="M240" s="5" t="n">
        <v>2499</v>
      </c>
      <c r="N240" s="0" t="n">
        <v>3</v>
      </c>
      <c r="O240" s="0" t="s">
        <v>91</v>
      </c>
      <c r="P240" s="0" t="n">
        <v>2</v>
      </c>
      <c r="Q240" s="5" t="n">
        <v>90</v>
      </c>
      <c r="R240" s="4" t="n">
        <v>45802</v>
      </c>
      <c r="S240" s="0" t="s">
        <v>109</v>
      </c>
      <c r="T240" s="0" t="n">
        <f aca="false">R240-J240</f>
        <v>2</v>
      </c>
      <c r="U240" s="5" t="n">
        <f aca="false">M240*N240</f>
        <v>7497</v>
      </c>
      <c r="V240" s="6" t="n">
        <f aca="false">IF(O240="FLAT5",5%,IF(O240="FLAT10",10%,IF(O240="FLAT15",15%,IF(O240="FLAT20",20%,0))))</f>
        <v>0.1</v>
      </c>
      <c r="W240" s="5" t="n">
        <f aca="false">U240*(1-V240)</f>
        <v>6747.3</v>
      </c>
      <c r="X240" s="5" t="n">
        <f aca="false">W240+IF(O240="DEL0",0,Q240)</f>
        <v>6837.3</v>
      </c>
      <c r="Y240" s="0" t="str">
        <f aca="false">B240&amp;" "&amp;C240</f>
        <v>Kavya Chowdhury</v>
      </c>
      <c r="Z240" s="0" t="str">
        <f aca="false">IF(T240&lt;P240,"BeforeTime",IF(T240=P240,"Intime","Late"))</f>
        <v>Intime</v>
      </c>
      <c r="AA240" s="0" t="str">
        <f aca="false">TEXT(J240,"mmm")</f>
        <v>May</v>
      </c>
      <c r="AB240" s="0" t="e">
        <f aca="false">xlookup(L240,Products!A:A,Products!B:B,"")</f>
        <v>#NAME?</v>
      </c>
    </row>
    <row r="241" customFormat="false" ht="15" hidden="false" customHeight="false" outlineLevel="0" collapsed="false">
      <c r="A241" s="0" t="s">
        <v>919</v>
      </c>
      <c r="B241" s="0" t="s">
        <v>394</v>
      </c>
      <c r="C241" s="0" t="s">
        <v>105</v>
      </c>
      <c r="D241" s="0" t="n">
        <v>25</v>
      </c>
      <c r="E241" s="0" t="s">
        <v>48</v>
      </c>
      <c r="F241" s="0" t="s">
        <v>248</v>
      </c>
      <c r="G241" s="0" t="s">
        <v>1294</v>
      </c>
      <c r="H241" s="0" t="s">
        <v>519</v>
      </c>
      <c r="I241" s="0" t="s">
        <v>1295</v>
      </c>
      <c r="J241" s="4" t="n">
        <v>45992</v>
      </c>
      <c r="K241" s="0" t="s">
        <v>1296</v>
      </c>
      <c r="L241" s="0" t="s">
        <v>391</v>
      </c>
      <c r="M241" s="5" t="n">
        <v>3499</v>
      </c>
      <c r="N241" s="0" t="n">
        <v>1</v>
      </c>
      <c r="O241" s="0" t="s">
        <v>259</v>
      </c>
      <c r="P241" s="0" t="n">
        <v>2</v>
      </c>
      <c r="Q241" s="5" t="n">
        <v>75</v>
      </c>
      <c r="R241" s="4" t="n">
        <v>45993</v>
      </c>
      <c r="S241" s="0" t="s">
        <v>1297</v>
      </c>
      <c r="T241" s="0" t="n">
        <f aca="false">R241-J241</f>
        <v>1</v>
      </c>
      <c r="U241" s="5" t="n">
        <f aca="false">M241*N241</f>
        <v>3499</v>
      </c>
      <c r="V241" s="6" t="n">
        <f aca="false">IF(O241="FLAT5",5%,IF(O241="FLAT10",10%,IF(O241="FLAT15",15%,IF(O241="FLAT20",20%,0))))</f>
        <v>0</v>
      </c>
      <c r="W241" s="5" t="n">
        <f aca="false">U241*(1-V241)</f>
        <v>3499</v>
      </c>
      <c r="X241" s="5" t="n">
        <f aca="false">W241+IF(O241="DEL0",0,Q241)</f>
        <v>3574</v>
      </c>
      <c r="Y241" s="0" t="str">
        <f aca="false">B241&amp;" "&amp;C241</f>
        <v>Kiran Bhat</v>
      </c>
      <c r="Z241" s="0" t="str">
        <f aca="false">IF(T241&lt;P241,"BeforeTime",IF(T241=P241,"Intime","Late"))</f>
        <v>BeforeTime</v>
      </c>
      <c r="AA241" s="0" t="str">
        <f aca="false">TEXT(J241,"mmm")</f>
        <v>Dec</v>
      </c>
      <c r="AB241" s="0" t="e">
        <f aca="false">xlookup(L241,Products!A:A,Products!B:B,"")</f>
        <v>#NAME?</v>
      </c>
    </row>
    <row r="242" customFormat="false" ht="15" hidden="false" customHeight="false" outlineLevel="0" collapsed="false">
      <c r="A242" s="0" t="s">
        <v>1298</v>
      </c>
      <c r="B242" s="0" t="s">
        <v>104</v>
      </c>
      <c r="C242" s="0" t="s">
        <v>368</v>
      </c>
      <c r="D242" s="0" t="n">
        <v>52</v>
      </c>
      <c r="E242" s="0" t="s">
        <v>36</v>
      </c>
      <c r="F242" s="0" t="s">
        <v>248</v>
      </c>
      <c r="G242" s="0" t="s">
        <v>1299</v>
      </c>
      <c r="H242" s="0" t="s">
        <v>691</v>
      </c>
      <c r="I242" s="0" t="s">
        <v>1300</v>
      </c>
      <c r="J242" s="4" t="n">
        <v>45772</v>
      </c>
      <c r="K242" s="0" t="s">
        <v>1301</v>
      </c>
      <c r="L242" s="0" t="s">
        <v>391</v>
      </c>
      <c r="M242" s="5" t="n">
        <v>3499</v>
      </c>
      <c r="N242" s="0" t="n">
        <v>3</v>
      </c>
      <c r="O242" s="0" t="s">
        <v>54</v>
      </c>
      <c r="P242" s="0" t="n">
        <v>5</v>
      </c>
      <c r="Q242" s="5" t="n">
        <v>0</v>
      </c>
      <c r="R242" s="4" t="n">
        <v>45777</v>
      </c>
      <c r="S242" s="0" t="s">
        <v>1302</v>
      </c>
      <c r="T242" s="0" t="n">
        <f aca="false">R242-J242</f>
        <v>5</v>
      </c>
      <c r="U242" s="5" t="n">
        <f aca="false">M242*N242</f>
        <v>10497</v>
      </c>
      <c r="V242" s="6" t="n">
        <f aca="false">IF(O242="FLAT5",5%,IF(O242="FLAT10",10%,IF(O242="FLAT15",15%,IF(O242="FLAT20",20%,0))))</f>
        <v>0</v>
      </c>
      <c r="W242" s="5" t="n">
        <f aca="false">U242*(1-V242)</f>
        <v>10497</v>
      </c>
      <c r="X242" s="5" t="n">
        <f aca="false">W242+IF(O242="DEL0",0,Q242)</f>
        <v>10497</v>
      </c>
      <c r="Y242" s="0" t="str">
        <f aca="false">B242&amp;" "&amp;C242</f>
        <v>Keerthi Das</v>
      </c>
      <c r="Z242" s="0" t="str">
        <f aca="false">IF(T242&lt;P242,"BeforeTime",IF(T242=P242,"Intime","Late"))</f>
        <v>Intime</v>
      </c>
      <c r="AA242" s="0" t="str">
        <f aca="false">TEXT(J242,"mmm")</f>
        <v>Apr</v>
      </c>
      <c r="AB242" s="0" t="e">
        <f aca="false">xlookup(L242,Products!A:A,Products!B:B,"")</f>
        <v>#NAME?</v>
      </c>
    </row>
    <row r="243" customFormat="false" ht="15" hidden="false" customHeight="false" outlineLevel="0" collapsed="false">
      <c r="A243" s="0" t="s">
        <v>1303</v>
      </c>
      <c r="B243" s="0" t="s">
        <v>394</v>
      </c>
      <c r="C243" s="0" t="s">
        <v>261</v>
      </c>
      <c r="D243" s="0" t="n">
        <v>26</v>
      </c>
      <c r="E243" s="0" t="s">
        <v>36</v>
      </c>
      <c r="F243" s="0" t="s">
        <v>202</v>
      </c>
      <c r="G243" s="0" t="s">
        <v>1304</v>
      </c>
      <c r="H243" s="0" t="s">
        <v>893</v>
      </c>
      <c r="I243" s="0" t="s">
        <v>1305</v>
      </c>
      <c r="J243" s="4" t="n">
        <v>45807</v>
      </c>
      <c r="K243" s="0" t="s">
        <v>325</v>
      </c>
      <c r="L243" s="0" t="s">
        <v>391</v>
      </c>
      <c r="M243" s="5" t="n">
        <v>3499</v>
      </c>
      <c r="N243" s="0" t="n">
        <v>3</v>
      </c>
      <c r="O243" s="0" t="s">
        <v>54</v>
      </c>
      <c r="P243" s="0" t="n">
        <v>6</v>
      </c>
      <c r="Q243" s="5" t="n">
        <v>0</v>
      </c>
      <c r="R243" s="4" t="n">
        <v>45813</v>
      </c>
      <c r="S243" s="0" t="s">
        <v>81</v>
      </c>
      <c r="T243" s="0" t="n">
        <f aca="false">R243-J243</f>
        <v>6</v>
      </c>
      <c r="U243" s="5" t="n">
        <f aca="false">M243*N243</f>
        <v>10497</v>
      </c>
      <c r="V243" s="6" t="n">
        <f aca="false">IF(O243="FLAT5",5%,IF(O243="FLAT10",10%,IF(O243="FLAT15",15%,IF(O243="FLAT20",20%,0))))</f>
        <v>0</v>
      </c>
      <c r="W243" s="5" t="n">
        <f aca="false">U243*(1-V243)</f>
        <v>10497</v>
      </c>
      <c r="X243" s="5" t="n">
        <f aca="false">W243+IF(O243="DEL0",0,Q243)</f>
        <v>10497</v>
      </c>
      <c r="Y243" s="0" t="str">
        <f aca="false">B243&amp;" "&amp;C243</f>
        <v>Kiran Kumar</v>
      </c>
      <c r="Z243" s="0" t="str">
        <f aca="false">IF(T243&lt;P243,"BeforeTime",IF(T243=P243,"Intime","Late"))</f>
        <v>Intime</v>
      </c>
      <c r="AA243" s="0" t="str">
        <f aca="false">TEXT(J243,"mmm")</f>
        <v>May</v>
      </c>
      <c r="AB243" s="0" t="e">
        <f aca="false">xlookup(L243,Products!A:A,Products!B:B,"")</f>
        <v>#NAME?</v>
      </c>
    </row>
    <row r="244" customFormat="false" ht="15" hidden="false" customHeight="false" outlineLevel="0" collapsed="false">
      <c r="A244" s="0" t="s">
        <v>416</v>
      </c>
      <c r="B244" s="0" t="s">
        <v>282</v>
      </c>
      <c r="C244" s="0" t="s">
        <v>261</v>
      </c>
      <c r="D244" s="0" t="n">
        <v>36</v>
      </c>
      <c r="E244" s="0" t="s">
        <v>36</v>
      </c>
      <c r="F244" s="0" t="s">
        <v>37</v>
      </c>
      <c r="G244" s="0" t="s">
        <v>1306</v>
      </c>
      <c r="H244" s="0" t="s">
        <v>1307</v>
      </c>
      <c r="I244" s="0" t="s">
        <v>1308</v>
      </c>
      <c r="J244" s="4" t="n">
        <v>45755</v>
      </c>
      <c r="K244" s="0" t="s">
        <v>1309</v>
      </c>
      <c r="L244" s="0" t="s">
        <v>129</v>
      </c>
      <c r="M244" s="5" t="n">
        <v>2999</v>
      </c>
      <c r="N244" s="0" t="n">
        <v>4</v>
      </c>
      <c r="O244" s="0" t="s">
        <v>91</v>
      </c>
      <c r="P244" s="0" t="n">
        <v>7</v>
      </c>
      <c r="Q244" s="5" t="n">
        <v>75</v>
      </c>
      <c r="R244" s="4" t="n">
        <v>45762</v>
      </c>
      <c r="S244" s="0" t="s">
        <v>1310</v>
      </c>
      <c r="T244" s="0" t="n">
        <f aca="false">R244-J244</f>
        <v>7</v>
      </c>
      <c r="U244" s="5" t="n">
        <f aca="false">M244*N244</f>
        <v>11996</v>
      </c>
      <c r="V244" s="6" t="n">
        <f aca="false">IF(O244="FLAT5",5%,IF(O244="FLAT10",10%,IF(O244="FLAT15",15%,IF(O244="FLAT20",20%,0))))</f>
        <v>0.1</v>
      </c>
      <c r="W244" s="5" t="n">
        <f aca="false">U244*(1-V244)</f>
        <v>10796.4</v>
      </c>
      <c r="X244" s="5" t="n">
        <f aca="false">W244+IF(O244="DEL0",0,Q244)</f>
        <v>10871.4</v>
      </c>
      <c r="Y244" s="0" t="str">
        <f aca="false">B244&amp;" "&amp;C244</f>
        <v>Nisha Kumar</v>
      </c>
      <c r="Z244" s="0" t="str">
        <f aca="false">IF(T244&lt;P244,"BeforeTime",IF(T244=P244,"Intime","Late"))</f>
        <v>Intime</v>
      </c>
      <c r="AA244" s="0" t="str">
        <f aca="false">TEXT(J244,"mmm")</f>
        <v>Apr</v>
      </c>
      <c r="AB244" s="0" t="e">
        <f aca="false">xlookup(L244,Products!A:A,Products!B:B,"")</f>
        <v>#NAME?</v>
      </c>
    </row>
    <row r="245" customFormat="false" ht="15" hidden="false" customHeight="false" outlineLevel="0" collapsed="false">
      <c r="A245" s="0" t="s">
        <v>1259</v>
      </c>
      <c r="B245" s="0" t="s">
        <v>94</v>
      </c>
      <c r="C245" s="0" t="s">
        <v>195</v>
      </c>
      <c r="D245" s="0" t="n">
        <v>51</v>
      </c>
      <c r="E245" s="0" t="s">
        <v>36</v>
      </c>
      <c r="F245" s="0" t="s">
        <v>77</v>
      </c>
      <c r="G245" s="0" t="s">
        <v>1311</v>
      </c>
      <c r="H245" s="0" t="s">
        <v>1200</v>
      </c>
      <c r="I245" s="0" t="s">
        <v>1312</v>
      </c>
      <c r="J245" s="4" t="n">
        <v>45879</v>
      </c>
      <c r="K245" s="0" t="s">
        <v>652</v>
      </c>
      <c r="L245" s="0" t="s">
        <v>82</v>
      </c>
      <c r="M245" s="5" t="n">
        <v>1199</v>
      </c>
      <c r="N245" s="0" t="n">
        <v>1</v>
      </c>
      <c r="O245" s="0" t="s">
        <v>101</v>
      </c>
      <c r="P245" s="0" t="n">
        <v>6</v>
      </c>
      <c r="Q245" s="5" t="n">
        <v>90</v>
      </c>
      <c r="R245" s="4" t="n">
        <v>45885</v>
      </c>
      <c r="S245" s="0" t="s">
        <v>1313</v>
      </c>
      <c r="T245" s="0" t="n">
        <f aca="false">R245-J245</f>
        <v>6</v>
      </c>
      <c r="U245" s="5" t="n">
        <f aca="false">M245*N245</f>
        <v>1199</v>
      </c>
      <c r="V245" s="6" t="n">
        <f aca="false">IF(O245="FLAT5",5%,IF(O245="FLAT10",10%,IF(O245="FLAT15",15%,IF(O245="FLAT20",20%,0))))</f>
        <v>0.15</v>
      </c>
      <c r="W245" s="5" t="n">
        <f aca="false">U245*(1-V245)</f>
        <v>1019.15</v>
      </c>
      <c r="X245" s="5" t="n">
        <f aca="false">W245+IF(O245="DEL0",0,Q245)</f>
        <v>1109.15</v>
      </c>
      <c r="Y245" s="0" t="str">
        <f aca="false">B245&amp;" "&amp;C245</f>
        <v>Manoj Singh</v>
      </c>
      <c r="Z245" s="0" t="str">
        <f aca="false">IF(T245&lt;P245,"BeforeTime",IF(T245=P245,"Intime","Late"))</f>
        <v>Intime</v>
      </c>
      <c r="AA245" s="0" t="str">
        <f aca="false">TEXT(J245,"mmm")</f>
        <v>Aug</v>
      </c>
      <c r="AB245" s="0" t="e">
        <f aca="false">xlookup(L245,Products!A:A,Products!B:B,"")</f>
        <v>#NAME?</v>
      </c>
    </row>
    <row r="246" customFormat="false" ht="15" hidden="false" customHeight="false" outlineLevel="0" collapsed="false">
      <c r="A246" s="0" t="s">
        <v>875</v>
      </c>
      <c r="B246" s="0" t="s">
        <v>294</v>
      </c>
      <c r="C246" s="0" t="s">
        <v>229</v>
      </c>
      <c r="D246" s="0" t="n">
        <v>52</v>
      </c>
      <c r="E246" s="0" t="s">
        <v>48</v>
      </c>
      <c r="F246" s="0" t="s">
        <v>160</v>
      </c>
      <c r="G246" s="0" t="s">
        <v>1314</v>
      </c>
      <c r="H246" s="0" t="s">
        <v>1315</v>
      </c>
      <c r="I246" s="0" t="s">
        <v>1316</v>
      </c>
      <c r="J246" s="4" t="n">
        <v>45833</v>
      </c>
      <c r="K246" s="0" t="s">
        <v>1125</v>
      </c>
      <c r="L246" s="0" t="s">
        <v>64</v>
      </c>
      <c r="M246" s="5" t="n">
        <v>2799</v>
      </c>
      <c r="N246" s="0" t="n">
        <v>2</v>
      </c>
      <c r="O246" s="0" t="s">
        <v>91</v>
      </c>
      <c r="P246" s="0" t="n">
        <v>4</v>
      </c>
      <c r="Q246" s="5" t="n">
        <v>50</v>
      </c>
      <c r="R246" s="4" t="n">
        <v>45837</v>
      </c>
      <c r="S246" s="0" t="s">
        <v>1317</v>
      </c>
      <c r="T246" s="0" t="n">
        <f aca="false">R246-J246</f>
        <v>4</v>
      </c>
      <c r="U246" s="5" t="n">
        <f aca="false">M246*N246</f>
        <v>5598</v>
      </c>
      <c r="V246" s="6" t="n">
        <f aca="false">IF(O246="FLAT5",5%,IF(O246="FLAT10",10%,IF(O246="FLAT15",15%,IF(O246="FLAT20",20%,0))))</f>
        <v>0.1</v>
      </c>
      <c r="W246" s="5" t="n">
        <f aca="false">U246*(1-V246)</f>
        <v>5038.2</v>
      </c>
      <c r="X246" s="5" t="n">
        <f aca="false">W246+IF(O246="DEL0",0,Q246)</f>
        <v>5088.2</v>
      </c>
      <c r="Y246" s="0" t="str">
        <f aca="false">B246&amp;" "&amp;C246</f>
        <v>Aditya Joshi</v>
      </c>
      <c r="Z246" s="0" t="str">
        <f aca="false">IF(T246&lt;P246,"BeforeTime",IF(T246=P246,"Intime","Late"))</f>
        <v>Intime</v>
      </c>
      <c r="AA246" s="0" t="str">
        <f aca="false">TEXT(J246,"mmm")</f>
        <v>Jun</v>
      </c>
      <c r="AB246" s="0" t="e">
        <f aca="false">xlookup(L246,Products!A:A,Products!B:B,"")</f>
        <v>#NAME?</v>
      </c>
    </row>
    <row r="247" customFormat="false" ht="15" hidden="false" customHeight="false" outlineLevel="0" collapsed="false">
      <c r="A247" s="0" t="s">
        <v>460</v>
      </c>
      <c r="B247" s="0" t="s">
        <v>122</v>
      </c>
      <c r="C247" s="0" t="s">
        <v>229</v>
      </c>
      <c r="D247" s="0" t="n">
        <v>55</v>
      </c>
      <c r="E247" s="0" t="s">
        <v>36</v>
      </c>
      <c r="F247" s="0" t="s">
        <v>37</v>
      </c>
      <c r="G247" s="0" t="s">
        <v>1318</v>
      </c>
      <c r="H247" s="0" t="s">
        <v>1319</v>
      </c>
      <c r="I247" s="0" t="s">
        <v>1320</v>
      </c>
      <c r="J247" s="4" t="n">
        <v>46002</v>
      </c>
      <c r="K247" s="0" t="s">
        <v>1321</v>
      </c>
      <c r="L247" s="0" t="s">
        <v>100</v>
      </c>
      <c r="M247" s="5" t="n">
        <v>999</v>
      </c>
      <c r="N247" s="0" t="n">
        <v>3</v>
      </c>
      <c r="O247" s="0" t="s">
        <v>54</v>
      </c>
      <c r="P247" s="0" t="n">
        <v>3</v>
      </c>
      <c r="Q247" s="5" t="n">
        <v>0</v>
      </c>
      <c r="R247" s="4" t="n">
        <v>46007</v>
      </c>
      <c r="S247" s="0" t="s">
        <v>722</v>
      </c>
      <c r="T247" s="0" t="n">
        <f aca="false">R247-J247</f>
        <v>5</v>
      </c>
      <c r="U247" s="5" t="n">
        <f aca="false">M247*N247</f>
        <v>2997</v>
      </c>
      <c r="V247" s="6" t="n">
        <f aca="false">IF(O247="FLAT5",5%,IF(O247="FLAT10",10%,IF(O247="FLAT15",15%,IF(O247="FLAT20",20%,0))))</f>
        <v>0</v>
      </c>
      <c r="W247" s="5" t="n">
        <f aca="false">U247*(1-V247)</f>
        <v>2997</v>
      </c>
      <c r="X247" s="5" t="n">
        <f aca="false">W247+IF(O247="DEL0",0,Q247)</f>
        <v>2997</v>
      </c>
      <c r="Y247" s="0" t="str">
        <f aca="false">B247&amp;" "&amp;C247</f>
        <v>Meera Joshi</v>
      </c>
      <c r="Z247" s="0" t="str">
        <f aca="false">IF(T247&lt;P247,"BeforeTime",IF(T247=P247,"Intime","Late"))</f>
        <v>Late</v>
      </c>
      <c r="AA247" s="0" t="str">
        <f aca="false">TEXT(J247,"mmm")</f>
        <v>Dec</v>
      </c>
      <c r="AB247" s="0" t="e">
        <f aca="false">xlookup(L247,Products!A:A,Products!B:B,"")</f>
        <v>#NAME?</v>
      </c>
    </row>
    <row r="248" customFormat="false" ht="15" hidden="false" customHeight="false" outlineLevel="0" collapsed="false">
      <c r="A248" s="0" t="s">
        <v>216</v>
      </c>
      <c r="B248" s="0" t="s">
        <v>147</v>
      </c>
      <c r="C248" s="0" t="s">
        <v>95</v>
      </c>
      <c r="D248" s="0" t="n">
        <v>54</v>
      </c>
      <c r="E248" s="0" t="s">
        <v>48</v>
      </c>
      <c r="F248" s="0" t="s">
        <v>160</v>
      </c>
      <c r="G248" s="0" t="s">
        <v>1322</v>
      </c>
      <c r="H248" s="0" t="s">
        <v>1323</v>
      </c>
      <c r="I248" s="0" t="s">
        <v>1324</v>
      </c>
      <c r="J248" s="4" t="n">
        <v>45732</v>
      </c>
      <c r="K248" s="0" t="s">
        <v>253</v>
      </c>
      <c r="L248" s="0" t="s">
        <v>110</v>
      </c>
      <c r="M248" s="5" t="n">
        <v>1499</v>
      </c>
      <c r="N248" s="0" t="n">
        <v>1</v>
      </c>
      <c r="O248" s="0" t="s">
        <v>83</v>
      </c>
      <c r="P248" s="0" t="n">
        <v>2</v>
      </c>
      <c r="Q248" s="5" t="n">
        <v>50</v>
      </c>
      <c r="R248" s="4" t="n">
        <v>45734</v>
      </c>
      <c r="S248" s="0" t="s">
        <v>1325</v>
      </c>
      <c r="T248" s="0" t="n">
        <f aca="false">R248-J248</f>
        <v>2</v>
      </c>
      <c r="U248" s="5" t="n">
        <f aca="false">M248*N248</f>
        <v>1499</v>
      </c>
      <c r="V248" s="6" t="n">
        <f aca="false">IF(O248="FLAT5",5%,IF(O248="FLAT10",10%,IF(O248="FLAT15",15%,IF(O248="FLAT20",20%,0))))</f>
        <v>0.05</v>
      </c>
      <c r="W248" s="5" t="n">
        <f aca="false">U248*(1-V248)</f>
        <v>1424.05</v>
      </c>
      <c r="X248" s="5" t="n">
        <f aca="false">W248+IF(O248="DEL0",0,Q248)</f>
        <v>1474.05</v>
      </c>
      <c r="Y248" s="0" t="str">
        <f aca="false">B248&amp;" "&amp;C248</f>
        <v>Pooja Mishra</v>
      </c>
      <c r="Z248" s="0" t="str">
        <f aca="false">IF(T248&lt;P248,"BeforeTime",IF(T248=P248,"Intime","Late"))</f>
        <v>Intime</v>
      </c>
      <c r="AA248" s="0" t="str">
        <f aca="false">TEXT(J248,"mmm")</f>
        <v>Mar</v>
      </c>
      <c r="AB248" s="0" t="e">
        <f aca="false">xlookup(L248,Products!A:A,Products!B:B,"")</f>
        <v>#NAME?</v>
      </c>
    </row>
    <row r="249" customFormat="false" ht="15" hidden="false" customHeight="false" outlineLevel="0" collapsed="false">
      <c r="A249" s="0" t="s">
        <v>1326</v>
      </c>
      <c r="B249" s="0" t="s">
        <v>174</v>
      </c>
      <c r="C249" s="0" t="s">
        <v>368</v>
      </c>
      <c r="D249" s="0" t="n">
        <v>33</v>
      </c>
      <c r="E249" s="0" t="s">
        <v>36</v>
      </c>
      <c r="F249" s="0" t="s">
        <v>59</v>
      </c>
      <c r="G249" s="0" t="s">
        <v>1327</v>
      </c>
      <c r="H249" s="0" t="s">
        <v>1328</v>
      </c>
      <c r="I249" s="0" t="s">
        <v>1329</v>
      </c>
      <c r="J249" s="4" t="n">
        <v>46003</v>
      </c>
      <c r="K249" s="0" t="s">
        <v>491</v>
      </c>
      <c r="L249" s="0" t="s">
        <v>53</v>
      </c>
      <c r="M249" s="5" t="n">
        <v>2499</v>
      </c>
      <c r="N249" s="0" t="n">
        <v>1</v>
      </c>
      <c r="O249" s="0" t="s">
        <v>43</v>
      </c>
      <c r="P249" s="0" t="n">
        <v>7</v>
      </c>
      <c r="Q249" s="5" t="n">
        <v>50</v>
      </c>
      <c r="R249" s="4" t="n">
        <v>46010</v>
      </c>
      <c r="S249" s="0" t="s">
        <v>631</v>
      </c>
      <c r="T249" s="0" t="n">
        <f aca="false">R249-J249</f>
        <v>7</v>
      </c>
      <c r="U249" s="5" t="n">
        <f aca="false">M249*N249</f>
        <v>2499</v>
      </c>
      <c r="V249" s="6" t="n">
        <f aca="false">IF(O249="FLAT5",5%,IF(O249="FLAT10",10%,IF(O249="FLAT15",15%,IF(O249="FLAT20",20%,0))))</f>
        <v>0.2</v>
      </c>
      <c r="W249" s="5" t="n">
        <f aca="false">U249*(1-V249)</f>
        <v>1999.2</v>
      </c>
      <c r="X249" s="5" t="n">
        <f aca="false">W249+IF(O249="DEL0",0,Q249)</f>
        <v>2049.2</v>
      </c>
      <c r="Y249" s="0" t="str">
        <f aca="false">B249&amp;" "&amp;C249</f>
        <v>Ananya Das</v>
      </c>
      <c r="Z249" s="0" t="str">
        <f aca="false">IF(T249&lt;P249,"BeforeTime",IF(T249=P249,"Intime","Late"))</f>
        <v>Intime</v>
      </c>
      <c r="AA249" s="0" t="str">
        <f aca="false">TEXT(J249,"mmm")</f>
        <v>Dec</v>
      </c>
      <c r="AB249" s="0" t="e">
        <f aca="false">xlookup(L249,Products!A:A,Products!B:B,"")</f>
        <v>#NAME?</v>
      </c>
    </row>
    <row r="250" customFormat="false" ht="15" hidden="false" customHeight="false" outlineLevel="0" collapsed="false">
      <c r="A250" s="0" t="s">
        <v>173</v>
      </c>
      <c r="B250" s="0" t="s">
        <v>122</v>
      </c>
      <c r="C250" s="0" t="s">
        <v>210</v>
      </c>
      <c r="D250" s="0" t="n">
        <v>44</v>
      </c>
      <c r="E250" s="0" t="s">
        <v>48</v>
      </c>
      <c r="F250" s="0" t="s">
        <v>160</v>
      </c>
      <c r="G250" s="0" t="s">
        <v>1330</v>
      </c>
      <c r="H250" s="0" t="s">
        <v>1331</v>
      </c>
      <c r="I250" s="0" t="s">
        <v>1332</v>
      </c>
      <c r="J250" s="4" t="n">
        <v>45685</v>
      </c>
      <c r="K250" s="0" t="s">
        <v>1333</v>
      </c>
      <c r="L250" s="0" t="s">
        <v>119</v>
      </c>
      <c r="M250" s="5" t="n">
        <v>899</v>
      </c>
      <c r="N250" s="0" t="n">
        <v>3</v>
      </c>
      <c r="O250" s="0" t="s">
        <v>259</v>
      </c>
      <c r="P250" s="0" t="n">
        <v>2</v>
      </c>
      <c r="Q250" s="5" t="n">
        <v>50</v>
      </c>
      <c r="R250" s="4" t="n">
        <v>45687</v>
      </c>
      <c r="S250" s="0" t="s">
        <v>1334</v>
      </c>
      <c r="T250" s="0" t="n">
        <f aca="false">R250-J250</f>
        <v>2</v>
      </c>
      <c r="U250" s="5" t="n">
        <f aca="false">M250*N250</f>
        <v>2697</v>
      </c>
      <c r="V250" s="6" t="n">
        <f aca="false">IF(O250="FLAT5",5%,IF(O250="FLAT10",10%,IF(O250="FLAT15",15%,IF(O250="FLAT20",20%,0))))</f>
        <v>0</v>
      </c>
      <c r="W250" s="5" t="n">
        <f aca="false">U250*(1-V250)</f>
        <v>2697</v>
      </c>
      <c r="X250" s="5" t="n">
        <f aca="false">W250+IF(O250="DEL0",0,Q250)</f>
        <v>2747</v>
      </c>
      <c r="Y250" s="0" t="str">
        <f aca="false">B250&amp;" "&amp;C250</f>
        <v>Meera Reddy</v>
      </c>
      <c r="Z250" s="0" t="str">
        <f aca="false">IF(T250&lt;P250,"BeforeTime",IF(T250=P250,"Intime","Late"))</f>
        <v>Intime</v>
      </c>
      <c r="AA250" s="0" t="str">
        <f aca="false">TEXT(J250,"mmm")</f>
        <v>Jan</v>
      </c>
      <c r="AB250" s="0" t="e">
        <f aca="false">xlookup(L250,Products!A:A,Products!B:B,"")</f>
        <v>#NAME?</v>
      </c>
    </row>
    <row r="251" customFormat="false" ht="15" hidden="false" customHeight="false" outlineLevel="0" collapsed="false">
      <c r="A251" s="0" t="s">
        <v>576</v>
      </c>
      <c r="B251" s="0" t="s">
        <v>67</v>
      </c>
      <c r="C251" s="0" t="s">
        <v>47</v>
      </c>
      <c r="D251" s="0" t="n">
        <v>32</v>
      </c>
      <c r="E251" s="0" t="s">
        <v>48</v>
      </c>
      <c r="F251" s="0" t="s">
        <v>248</v>
      </c>
      <c r="G251" s="0" t="s">
        <v>1335</v>
      </c>
      <c r="H251" s="0" t="s">
        <v>514</v>
      </c>
      <c r="I251" s="0" t="s">
        <v>1336</v>
      </c>
      <c r="J251" s="4" t="n">
        <v>45746</v>
      </c>
      <c r="K251" s="0" t="s">
        <v>1337</v>
      </c>
      <c r="L251" s="0" t="s">
        <v>42</v>
      </c>
      <c r="M251" s="5" t="n">
        <v>2199</v>
      </c>
      <c r="N251" s="0" t="n">
        <v>1</v>
      </c>
      <c r="O251" s="0" t="s">
        <v>91</v>
      </c>
      <c r="P251" s="0" t="n">
        <v>7</v>
      </c>
      <c r="Q251" s="5" t="n">
        <v>75</v>
      </c>
      <c r="R251" s="4" t="n">
        <v>45753</v>
      </c>
      <c r="S251" s="0" t="s">
        <v>791</v>
      </c>
      <c r="T251" s="0" t="n">
        <f aca="false">R251-J251</f>
        <v>7</v>
      </c>
      <c r="U251" s="5" t="n">
        <f aca="false">M251*N251</f>
        <v>2199</v>
      </c>
      <c r="V251" s="6" t="n">
        <f aca="false">IF(O251="FLAT5",5%,IF(O251="FLAT10",10%,IF(O251="FLAT15",15%,IF(O251="FLAT20",20%,0))))</f>
        <v>0.1</v>
      </c>
      <c r="W251" s="5" t="n">
        <f aca="false">U251*(1-V251)</f>
        <v>1979.1</v>
      </c>
      <c r="X251" s="5" t="n">
        <f aca="false">W251+IF(O251="DEL0",0,Q251)</f>
        <v>2054.1</v>
      </c>
      <c r="Y251" s="0" t="str">
        <f aca="false">B251&amp;" "&amp;C251</f>
        <v>Priya Verma</v>
      </c>
      <c r="Z251" s="0" t="str">
        <f aca="false">IF(T251&lt;P251,"BeforeTime",IF(T251=P251,"Intime","Late"))</f>
        <v>Intime</v>
      </c>
      <c r="AA251" s="0" t="str">
        <f aca="false">TEXT(J251,"mmm")</f>
        <v>Mar</v>
      </c>
      <c r="AB251" s="0" t="e">
        <f aca="false">xlookup(L251,Products!A:A,Products!B:B,"")</f>
        <v>#NAME?</v>
      </c>
    </row>
    <row r="252" customFormat="false" ht="15" hidden="false" customHeight="false" outlineLevel="0" collapsed="false">
      <c r="A252" s="0" t="s">
        <v>998</v>
      </c>
      <c r="B252" s="0" t="s">
        <v>94</v>
      </c>
      <c r="C252" s="0" t="s">
        <v>181</v>
      </c>
      <c r="D252" s="0" t="n">
        <v>20</v>
      </c>
      <c r="E252" s="0" t="s">
        <v>48</v>
      </c>
      <c r="F252" s="0" t="s">
        <v>248</v>
      </c>
      <c r="G252" s="0" t="s">
        <v>1338</v>
      </c>
      <c r="H252" s="0" t="s">
        <v>1339</v>
      </c>
      <c r="I252" s="0" t="s">
        <v>1340</v>
      </c>
      <c r="J252" s="4" t="n">
        <v>45823</v>
      </c>
      <c r="K252" s="0" t="s">
        <v>656</v>
      </c>
      <c r="L252" s="0" t="s">
        <v>82</v>
      </c>
      <c r="M252" s="5" t="n">
        <v>1199</v>
      </c>
      <c r="N252" s="0" t="n">
        <v>2</v>
      </c>
      <c r="O252" s="0" t="s">
        <v>83</v>
      </c>
      <c r="P252" s="0" t="n">
        <v>6</v>
      </c>
      <c r="Q252" s="5" t="n">
        <v>120</v>
      </c>
      <c r="R252" s="4" t="n">
        <v>45828</v>
      </c>
      <c r="S252" s="0" t="s">
        <v>1297</v>
      </c>
      <c r="T252" s="0" t="n">
        <f aca="false">R252-J252</f>
        <v>5</v>
      </c>
      <c r="U252" s="5" t="n">
        <f aca="false">M252*N252</f>
        <v>2398</v>
      </c>
      <c r="V252" s="6" t="n">
        <f aca="false">IF(O252="FLAT5",5%,IF(O252="FLAT10",10%,IF(O252="FLAT15",15%,IF(O252="FLAT20",20%,0))))</f>
        <v>0.05</v>
      </c>
      <c r="W252" s="5" t="n">
        <f aca="false">U252*(1-V252)</f>
        <v>2278.1</v>
      </c>
      <c r="X252" s="5" t="n">
        <f aca="false">W252+IF(O252="DEL0",0,Q252)</f>
        <v>2398.1</v>
      </c>
      <c r="Y252" s="0" t="str">
        <f aca="false">B252&amp;" "&amp;C252</f>
        <v>Manoj Gupta</v>
      </c>
      <c r="Z252" s="0" t="str">
        <f aca="false">IF(T252&lt;P252,"BeforeTime",IF(T252=P252,"Intime","Late"))</f>
        <v>BeforeTime</v>
      </c>
      <c r="AA252" s="0" t="str">
        <f aca="false">TEXT(J252,"mmm")</f>
        <v>Jun</v>
      </c>
      <c r="AB252" s="0" t="e">
        <f aca="false">xlookup(L252,Products!A:A,Products!B:B,"")</f>
        <v>#NAME?</v>
      </c>
    </row>
    <row r="253" customFormat="false" ht="15" hidden="false" customHeight="false" outlineLevel="0" collapsed="false">
      <c r="A253" s="0" t="s">
        <v>813</v>
      </c>
      <c r="B253" s="0" t="s">
        <v>86</v>
      </c>
      <c r="C253" s="0" t="s">
        <v>123</v>
      </c>
      <c r="D253" s="0" t="n">
        <v>31</v>
      </c>
      <c r="E253" s="0" t="s">
        <v>36</v>
      </c>
      <c r="F253" s="0" t="s">
        <v>77</v>
      </c>
      <c r="G253" s="0" t="s">
        <v>1341</v>
      </c>
      <c r="H253" s="0" t="s">
        <v>333</v>
      </c>
      <c r="I253" s="0" t="s">
        <v>1342</v>
      </c>
      <c r="J253" s="4" t="n">
        <v>45864</v>
      </c>
      <c r="K253" s="0" t="s">
        <v>1343</v>
      </c>
      <c r="L253" s="0" t="s">
        <v>42</v>
      </c>
      <c r="M253" s="5" t="n">
        <v>2199</v>
      </c>
      <c r="N253" s="0" t="n">
        <v>4</v>
      </c>
      <c r="O253" s="0" t="s">
        <v>101</v>
      </c>
      <c r="P253" s="0" t="n">
        <v>2</v>
      </c>
      <c r="Q253" s="5" t="n">
        <v>50</v>
      </c>
      <c r="R253" s="4" t="n">
        <v>45866</v>
      </c>
      <c r="S253" s="0" t="s">
        <v>298</v>
      </c>
      <c r="T253" s="0" t="n">
        <f aca="false">R253-J253</f>
        <v>2</v>
      </c>
      <c r="U253" s="5" t="n">
        <f aca="false">M253*N253</f>
        <v>8796</v>
      </c>
      <c r="V253" s="6" t="n">
        <f aca="false">IF(O253="FLAT5",5%,IF(O253="FLAT10",10%,IF(O253="FLAT15",15%,IF(O253="FLAT20",20%,0))))</f>
        <v>0.15</v>
      </c>
      <c r="W253" s="5" t="n">
        <f aca="false">U253*(1-V253)</f>
        <v>7476.6</v>
      </c>
      <c r="X253" s="5" t="n">
        <f aca="false">W253+IF(O253="DEL0",0,Q253)</f>
        <v>7526.6</v>
      </c>
      <c r="Y253" s="0" t="str">
        <f aca="false">B253&amp;" "&amp;C253</f>
        <v>Rahul Nair</v>
      </c>
      <c r="Z253" s="0" t="str">
        <f aca="false">IF(T253&lt;P253,"BeforeTime",IF(T253=P253,"Intime","Late"))</f>
        <v>Intime</v>
      </c>
      <c r="AA253" s="0" t="str">
        <f aca="false">TEXT(J253,"mmm")</f>
        <v>Jul</v>
      </c>
      <c r="AB253" s="0" t="e">
        <f aca="false">xlookup(L253,Products!A:A,Products!B:B,"")</f>
        <v>#NAME?</v>
      </c>
    </row>
    <row r="254" customFormat="false" ht="15" hidden="false" customHeight="false" outlineLevel="0" collapsed="false">
      <c r="A254" s="0" t="s">
        <v>439</v>
      </c>
      <c r="B254" s="0" t="s">
        <v>104</v>
      </c>
      <c r="C254" s="0" t="s">
        <v>167</v>
      </c>
      <c r="D254" s="0" t="n">
        <v>55</v>
      </c>
      <c r="E254" s="0" t="s">
        <v>36</v>
      </c>
      <c r="F254" s="0" t="s">
        <v>140</v>
      </c>
      <c r="G254" s="0" t="s">
        <v>1344</v>
      </c>
      <c r="H254" s="0" t="s">
        <v>1345</v>
      </c>
      <c r="I254" s="0" t="s">
        <v>1346</v>
      </c>
      <c r="J254" s="4" t="n">
        <v>45986</v>
      </c>
      <c r="K254" s="0" t="s">
        <v>739</v>
      </c>
      <c r="L254" s="0" t="s">
        <v>119</v>
      </c>
      <c r="M254" s="5" t="n">
        <v>899</v>
      </c>
      <c r="N254" s="0" t="n">
        <v>3</v>
      </c>
      <c r="O254" s="0" t="s">
        <v>101</v>
      </c>
      <c r="P254" s="0" t="n">
        <v>6</v>
      </c>
      <c r="Q254" s="5" t="n">
        <v>40</v>
      </c>
      <c r="R254" s="4" t="n">
        <v>45994</v>
      </c>
      <c r="S254" s="0" t="s">
        <v>299</v>
      </c>
      <c r="T254" s="0" t="n">
        <f aca="false">R254-J254</f>
        <v>8</v>
      </c>
      <c r="U254" s="5" t="n">
        <f aca="false">M254*N254</f>
        <v>2697</v>
      </c>
      <c r="V254" s="6" t="n">
        <f aca="false">IF(O254="FLAT5",5%,IF(O254="FLAT10",10%,IF(O254="FLAT15",15%,IF(O254="FLAT20",20%,0))))</f>
        <v>0.15</v>
      </c>
      <c r="W254" s="5" t="n">
        <f aca="false">U254*(1-V254)</f>
        <v>2292.45</v>
      </c>
      <c r="X254" s="5" t="n">
        <f aca="false">W254+IF(O254="DEL0",0,Q254)</f>
        <v>2332.45</v>
      </c>
      <c r="Y254" s="0" t="str">
        <f aca="false">B254&amp;" "&amp;C254</f>
        <v>Keerthi Chowdhury</v>
      </c>
      <c r="Z254" s="0" t="str">
        <f aca="false">IF(T254&lt;P254,"BeforeTime",IF(T254=P254,"Intime","Late"))</f>
        <v>Late</v>
      </c>
      <c r="AA254" s="0" t="str">
        <f aca="false">TEXT(J254,"mmm")</f>
        <v>Nov</v>
      </c>
      <c r="AB254" s="0" t="e">
        <f aca="false">xlookup(L254,Products!A:A,Products!B:B,"")</f>
        <v>#NAME?</v>
      </c>
    </row>
    <row r="255" customFormat="false" ht="15" hidden="false" customHeight="false" outlineLevel="0" collapsed="false">
      <c r="A255" s="0" t="s">
        <v>1347</v>
      </c>
      <c r="B255" s="0" t="s">
        <v>46</v>
      </c>
      <c r="C255" s="0" t="s">
        <v>368</v>
      </c>
      <c r="D255" s="0" t="n">
        <v>21</v>
      </c>
      <c r="E255" s="0" t="s">
        <v>48</v>
      </c>
      <c r="F255" s="0" t="s">
        <v>77</v>
      </c>
      <c r="G255" s="0" t="s">
        <v>1348</v>
      </c>
      <c r="H255" s="0" t="s">
        <v>1349</v>
      </c>
      <c r="I255" s="0" t="s">
        <v>1350</v>
      </c>
      <c r="J255" s="4" t="n">
        <v>45809</v>
      </c>
      <c r="K255" s="0" t="s">
        <v>1351</v>
      </c>
      <c r="L255" s="0" t="s">
        <v>240</v>
      </c>
      <c r="M255" s="5" t="n">
        <v>4999</v>
      </c>
      <c r="N255" s="0" t="n">
        <v>4</v>
      </c>
      <c r="O255" s="0" t="s">
        <v>101</v>
      </c>
      <c r="P255" s="0" t="n">
        <v>7</v>
      </c>
      <c r="Q255" s="5" t="n">
        <v>90</v>
      </c>
      <c r="R255" s="4" t="n">
        <v>45816</v>
      </c>
      <c r="S255" s="0" t="s">
        <v>1352</v>
      </c>
      <c r="T255" s="0" t="n">
        <f aca="false">R255-J255</f>
        <v>7</v>
      </c>
      <c r="U255" s="5" t="n">
        <f aca="false">M255*N255</f>
        <v>19996</v>
      </c>
      <c r="V255" s="6" t="n">
        <f aca="false">IF(O255="FLAT5",5%,IF(O255="FLAT10",10%,IF(O255="FLAT15",15%,IF(O255="FLAT20",20%,0))))</f>
        <v>0.15</v>
      </c>
      <c r="W255" s="5" t="n">
        <f aca="false">U255*(1-V255)</f>
        <v>16996.6</v>
      </c>
      <c r="X255" s="5" t="n">
        <f aca="false">W255+IF(O255="DEL0",0,Q255)</f>
        <v>17086.6</v>
      </c>
      <c r="Y255" s="0" t="str">
        <f aca="false">B255&amp;" "&amp;C255</f>
        <v>Sanjana Das</v>
      </c>
      <c r="Z255" s="0" t="str">
        <f aca="false">IF(T255&lt;P255,"BeforeTime",IF(T255=P255,"Intime","Late"))</f>
        <v>Intime</v>
      </c>
      <c r="AA255" s="0" t="str">
        <f aca="false">TEXT(J255,"mmm")</f>
        <v>Jun</v>
      </c>
      <c r="AB255" s="0" t="e">
        <f aca="false">xlookup(L255,Products!A:A,Products!B:B,"")</f>
        <v>#NAME?</v>
      </c>
    </row>
    <row r="256" customFormat="false" ht="15" hidden="false" customHeight="false" outlineLevel="0" collapsed="false">
      <c r="A256" s="0" t="s">
        <v>708</v>
      </c>
      <c r="B256" s="0" t="s">
        <v>57</v>
      </c>
      <c r="C256" s="0" t="s">
        <v>47</v>
      </c>
      <c r="D256" s="0" t="n">
        <v>33</v>
      </c>
      <c r="E256" s="0" t="s">
        <v>48</v>
      </c>
      <c r="F256" s="0" t="s">
        <v>140</v>
      </c>
      <c r="G256" s="0" t="s">
        <v>1353</v>
      </c>
      <c r="H256" s="0" t="s">
        <v>701</v>
      </c>
      <c r="I256" s="0" t="s">
        <v>1354</v>
      </c>
      <c r="J256" s="4" t="n">
        <v>45694</v>
      </c>
      <c r="K256" s="0" t="s">
        <v>1355</v>
      </c>
      <c r="L256" s="0" t="s">
        <v>100</v>
      </c>
      <c r="M256" s="5" t="n">
        <v>999</v>
      </c>
      <c r="N256" s="0" t="n">
        <v>4</v>
      </c>
      <c r="O256" s="0" t="s">
        <v>43</v>
      </c>
      <c r="P256" s="0" t="n">
        <v>7</v>
      </c>
      <c r="Q256" s="5" t="n">
        <v>40</v>
      </c>
      <c r="R256" s="4" t="n">
        <v>45701</v>
      </c>
      <c r="S256" s="0" t="s">
        <v>1356</v>
      </c>
      <c r="T256" s="0" t="n">
        <f aca="false">R256-J256</f>
        <v>7</v>
      </c>
      <c r="U256" s="5" t="n">
        <f aca="false">M256*N256</f>
        <v>3996</v>
      </c>
      <c r="V256" s="6" t="n">
        <f aca="false">IF(O256="FLAT5",5%,IF(O256="FLAT10",10%,IF(O256="FLAT15",15%,IF(O256="FLAT20",20%,0))))</f>
        <v>0.2</v>
      </c>
      <c r="W256" s="5" t="n">
        <f aca="false">U256*(1-V256)</f>
        <v>3196.8</v>
      </c>
      <c r="X256" s="5" t="n">
        <f aca="false">W256+IF(O256="DEL0",0,Q256)</f>
        <v>3236.8</v>
      </c>
      <c r="Y256" s="0" t="str">
        <f aca="false">B256&amp;" "&amp;C256</f>
        <v>Arjun Verma</v>
      </c>
      <c r="Z256" s="0" t="str">
        <f aca="false">IF(T256&lt;P256,"BeforeTime",IF(T256=P256,"Intime","Late"))</f>
        <v>Intime</v>
      </c>
      <c r="AA256" s="0" t="str">
        <f aca="false">TEXT(J256,"mmm")</f>
        <v>Feb</v>
      </c>
      <c r="AB256" s="0" t="e">
        <f aca="false">xlookup(L256,Products!A:A,Products!B:B,"")</f>
        <v>#NAME?</v>
      </c>
    </row>
    <row r="257" customFormat="false" ht="15" hidden="false" customHeight="false" outlineLevel="0" collapsed="false">
      <c r="A257" s="0" t="s">
        <v>1357</v>
      </c>
      <c r="B257" s="0" t="s">
        <v>582</v>
      </c>
      <c r="C257" s="0" t="s">
        <v>181</v>
      </c>
      <c r="D257" s="0" t="n">
        <v>55</v>
      </c>
      <c r="E257" s="0" t="s">
        <v>36</v>
      </c>
      <c r="F257" s="0" t="s">
        <v>124</v>
      </c>
      <c r="G257" s="0" t="s">
        <v>1358</v>
      </c>
      <c r="H257" s="0" t="s">
        <v>613</v>
      </c>
      <c r="I257" s="0" t="s">
        <v>1359</v>
      </c>
      <c r="J257" s="4" t="n">
        <v>45888</v>
      </c>
      <c r="K257" s="0" t="s">
        <v>206</v>
      </c>
      <c r="L257" s="0" t="s">
        <v>100</v>
      </c>
      <c r="M257" s="5" t="n">
        <v>999</v>
      </c>
      <c r="N257" s="0" t="n">
        <v>3</v>
      </c>
      <c r="O257" s="0" t="s">
        <v>91</v>
      </c>
      <c r="P257" s="0" t="n">
        <v>7</v>
      </c>
      <c r="Q257" s="5" t="n">
        <v>60</v>
      </c>
      <c r="R257" s="4" t="n">
        <v>45895</v>
      </c>
      <c r="S257" s="0" t="s">
        <v>1360</v>
      </c>
      <c r="T257" s="0" t="n">
        <f aca="false">R257-J257</f>
        <v>7</v>
      </c>
      <c r="U257" s="5" t="n">
        <f aca="false">M257*N257</f>
        <v>2997</v>
      </c>
      <c r="V257" s="6" t="n">
        <f aca="false">IF(O257="FLAT5",5%,IF(O257="FLAT10",10%,IF(O257="FLAT15",15%,IF(O257="FLAT20",20%,0))))</f>
        <v>0.1</v>
      </c>
      <c r="W257" s="5" t="n">
        <f aca="false">U257*(1-V257)</f>
        <v>2697.3</v>
      </c>
      <c r="X257" s="5" t="n">
        <f aca="false">W257+IF(O257="DEL0",0,Q257)</f>
        <v>2757.3</v>
      </c>
      <c r="Y257" s="0" t="str">
        <f aca="false">B257&amp;" "&amp;C257</f>
        <v>Kavya Gupta</v>
      </c>
      <c r="Z257" s="0" t="str">
        <f aca="false">IF(T257&lt;P257,"BeforeTime",IF(T257=P257,"Intime","Late"))</f>
        <v>Intime</v>
      </c>
      <c r="AA257" s="0" t="str">
        <f aca="false">TEXT(J257,"mmm")</f>
        <v>Aug</v>
      </c>
      <c r="AB257" s="0" t="e">
        <f aca="false">xlookup(L257,Products!A:A,Products!B:B,"")</f>
        <v>#NAME?</v>
      </c>
    </row>
    <row r="258" customFormat="false" ht="15" hidden="false" customHeight="false" outlineLevel="0" collapsed="false">
      <c r="A258" s="0" t="s">
        <v>714</v>
      </c>
      <c r="B258" s="0" t="s">
        <v>104</v>
      </c>
      <c r="C258" s="0" t="s">
        <v>76</v>
      </c>
      <c r="D258" s="0" t="n">
        <v>57</v>
      </c>
      <c r="E258" s="0" t="s">
        <v>36</v>
      </c>
      <c r="F258" s="0" t="s">
        <v>140</v>
      </c>
      <c r="G258" s="0" t="s">
        <v>1361</v>
      </c>
      <c r="H258" s="0" t="s">
        <v>1362</v>
      </c>
      <c r="I258" s="0" t="s">
        <v>1363</v>
      </c>
      <c r="J258" s="4" t="n">
        <v>46009</v>
      </c>
      <c r="K258" s="0" t="s">
        <v>1094</v>
      </c>
      <c r="L258" s="0" t="s">
        <v>391</v>
      </c>
      <c r="M258" s="5" t="n">
        <v>3499</v>
      </c>
      <c r="N258" s="0" t="n">
        <v>1</v>
      </c>
      <c r="O258" s="0" t="s">
        <v>91</v>
      </c>
      <c r="P258" s="0" t="n">
        <v>4</v>
      </c>
      <c r="Q258" s="5" t="n">
        <v>60</v>
      </c>
      <c r="R258" s="4" t="n">
        <v>46013</v>
      </c>
      <c r="S258" s="0" t="s">
        <v>1250</v>
      </c>
      <c r="T258" s="0" t="n">
        <f aca="false">R258-J258</f>
        <v>4</v>
      </c>
      <c r="U258" s="5" t="n">
        <f aca="false">M258*N258</f>
        <v>3499</v>
      </c>
      <c r="V258" s="6" t="n">
        <f aca="false">IF(O258="FLAT5",5%,IF(O258="FLAT10",10%,IF(O258="FLAT15",15%,IF(O258="FLAT20",20%,0))))</f>
        <v>0.1</v>
      </c>
      <c r="W258" s="5" t="n">
        <f aca="false">U258*(1-V258)</f>
        <v>3149.1</v>
      </c>
      <c r="X258" s="5" t="n">
        <f aca="false">W258+IF(O258="DEL0",0,Q258)</f>
        <v>3209.1</v>
      </c>
      <c r="Y258" s="0" t="str">
        <f aca="false">B258&amp;" "&amp;C258</f>
        <v>Keerthi Patel</v>
      </c>
      <c r="Z258" s="0" t="str">
        <f aca="false">IF(T258&lt;P258,"BeforeTime",IF(T258=P258,"Intime","Late"))</f>
        <v>Intime</v>
      </c>
      <c r="AA258" s="0" t="str">
        <f aca="false">TEXT(J258,"mmm")</f>
        <v>Dec</v>
      </c>
      <c r="AB258" s="0" t="e">
        <f aca="false">xlookup(L258,Products!A:A,Products!B:B,"")</f>
        <v>#NAME?</v>
      </c>
    </row>
    <row r="259" customFormat="false" ht="15" hidden="false" customHeight="false" outlineLevel="0" collapsed="false">
      <c r="A259" s="0" t="s">
        <v>1364</v>
      </c>
      <c r="B259" s="0" t="s">
        <v>147</v>
      </c>
      <c r="C259" s="0" t="s">
        <v>113</v>
      </c>
      <c r="D259" s="0" t="n">
        <v>54</v>
      </c>
      <c r="E259" s="0" t="s">
        <v>36</v>
      </c>
      <c r="F259" s="0" t="s">
        <v>262</v>
      </c>
      <c r="G259" s="0" t="s">
        <v>1365</v>
      </c>
      <c r="H259" s="0" t="s">
        <v>1366</v>
      </c>
      <c r="I259" s="0" t="s">
        <v>1367</v>
      </c>
      <c r="J259" s="4" t="n">
        <v>45937</v>
      </c>
      <c r="K259" s="0" t="s">
        <v>402</v>
      </c>
      <c r="L259" s="0" t="s">
        <v>82</v>
      </c>
      <c r="M259" s="5" t="n">
        <v>1199</v>
      </c>
      <c r="N259" s="0" t="n">
        <v>4</v>
      </c>
      <c r="O259" s="0" t="s">
        <v>54</v>
      </c>
      <c r="P259" s="0" t="n">
        <v>4</v>
      </c>
      <c r="Q259" s="5" t="n">
        <v>0</v>
      </c>
      <c r="R259" s="4" t="n">
        <v>45943</v>
      </c>
      <c r="S259" s="0" t="s">
        <v>443</v>
      </c>
      <c r="T259" s="0" t="n">
        <f aca="false">R259-J259</f>
        <v>6</v>
      </c>
      <c r="U259" s="5" t="n">
        <f aca="false">M259*N259</f>
        <v>4796</v>
      </c>
      <c r="V259" s="6" t="n">
        <f aca="false">IF(O259="FLAT5",5%,IF(O259="FLAT10",10%,IF(O259="FLAT15",15%,IF(O259="FLAT20",20%,0))))</f>
        <v>0</v>
      </c>
      <c r="W259" s="5" t="n">
        <f aca="false">U259*(1-V259)</f>
        <v>4796</v>
      </c>
      <c r="X259" s="5" t="n">
        <f aca="false">W259+IF(O259="DEL0",0,Q259)</f>
        <v>4796</v>
      </c>
      <c r="Y259" s="0" t="str">
        <f aca="false">B259&amp;" "&amp;C259</f>
        <v>Pooja Rao</v>
      </c>
      <c r="Z259" s="0" t="str">
        <f aca="false">IF(T259&lt;P259,"BeforeTime",IF(T259=P259,"Intime","Late"))</f>
        <v>Late</v>
      </c>
      <c r="AA259" s="0" t="str">
        <f aca="false">TEXT(J259,"mmm")</f>
        <v>Oct</v>
      </c>
      <c r="AB259" s="0" t="e">
        <f aca="false">xlookup(L259,Products!A:A,Products!B:B,"")</f>
        <v>#NAME?</v>
      </c>
    </row>
    <row r="260" customFormat="false" ht="15" hidden="false" customHeight="false" outlineLevel="0" collapsed="false">
      <c r="A260" s="0" t="s">
        <v>235</v>
      </c>
      <c r="B260" s="0" t="s">
        <v>34</v>
      </c>
      <c r="C260" s="0" t="s">
        <v>210</v>
      </c>
      <c r="D260" s="0" t="n">
        <v>20</v>
      </c>
      <c r="E260" s="0" t="s">
        <v>48</v>
      </c>
      <c r="F260" s="0" t="s">
        <v>77</v>
      </c>
      <c r="G260" s="0" t="s">
        <v>1368</v>
      </c>
      <c r="H260" s="0" t="s">
        <v>725</v>
      </c>
      <c r="I260" s="0" t="s">
        <v>1369</v>
      </c>
      <c r="J260" s="4" t="n">
        <v>45834</v>
      </c>
      <c r="K260" s="0" t="s">
        <v>1370</v>
      </c>
      <c r="L260" s="0" t="s">
        <v>240</v>
      </c>
      <c r="M260" s="5" t="n">
        <v>4999</v>
      </c>
      <c r="N260" s="0" t="n">
        <v>1</v>
      </c>
      <c r="O260" s="0" t="s">
        <v>91</v>
      </c>
      <c r="P260" s="0" t="n">
        <v>3</v>
      </c>
      <c r="Q260" s="5" t="n">
        <v>120</v>
      </c>
      <c r="R260" s="4" t="n">
        <v>45837</v>
      </c>
      <c r="S260" s="0" t="s">
        <v>671</v>
      </c>
      <c r="T260" s="0" t="n">
        <f aca="false">R260-J260</f>
        <v>3</v>
      </c>
      <c r="U260" s="5" t="n">
        <f aca="false">M260*N260</f>
        <v>4999</v>
      </c>
      <c r="V260" s="6" t="n">
        <f aca="false">IF(O260="FLAT5",5%,IF(O260="FLAT10",10%,IF(O260="FLAT15",15%,IF(O260="FLAT20",20%,0))))</f>
        <v>0.1</v>
      </c>
      <c r="W260" s="5" t="n">
        <f aca="false">U260*(1-V260)</f>
        <v>4499.1</v>
      </c>
      <c r="X260" s="5" t="n">
        <f aca="false">W260+IF(O260="DEL0",0,Q260)</f>
        <v>4619.1</v>
      </c>
      <c r="Y260" s="0" t="str">
        <f aca="false">B260&amp;" "&amp;C260</f>
        <v>Diya Reddy</v>
      </c>
      <c r="Z260" s="0" t="str">
        <f aca="false">IF(T260&lt;P260,"BeforeTime",IF(T260=P260,"Intime","Late"))</f>
        <v>Intime</v>
      </c>
      <c r="AA260" s="0" t="str">
        <f aca="false">TEXT(J260,"mmm")</f>
        <v>Jun</v>
      </c>
      <c r="AB260" s="0" t="e">
        <f aca="false">xlookup(L260,Products!A:A,Products!B:B,"")</f>
        <v>#NAME?</v>
      </c>
    </row>
    <row r="261" customFormat="false" ht="15" hidden="false" customHeight="false" outlineLevel="0" collapsed="false">
      <c r="A261" s="0" t="s">
        <v>1371</v>
      </c>
      <c r="B261" s="0" t="s">
        <v>75</v>
      </c>
      <c r="C261" s="0" t="s">
        <v>47</v>
      </c>
      <c r="D261" s="0" t="n">
        <v>27</v>
      </c>
      <c r="E261" s="0" t="s">
        <v>36</v>
      </c>
      <c r="F261" s="0" t="s">
        <v>124</v>
      </c>
      <c r="G261" s="0" t="s">
        <v>1372</v>
      </c>
      <c r="H261" s="0" t="s">
        <v>1373</v>
      </c>
      <c r="I261" s="0" t="s">
        <v>1374</v>
      </c>
      <c r="J261" s="4" t="n">
        <v>45695</v>
      </c>
      <c r="K261" s="0" t="s">
        <v>1375</v>
      </c>
      <c r="L261" s="0" t="s">
        <v>110</v>
      </c>
      <c r="M261" s="5" t="n">
        <v>1499</v>
      </c>
      <c r="N261" s="0" t="n">
        <v>4</v>
      </c>
      <c r="O261" s="0" t="s">
        <v>43</v>
      </c>
      <c r="P261" s="0" t="n">
        <v>4</v>
      </c>
      <c r="Q261" s="5" t="n">
        <v>60</v>
      </c>
      <c r="R261" s="4" t="n">
        <v>45699</v>
      </c>
      <c r="S261" s="0" t="s">
        <v>683</v>
      </c>
      <c r="T261" s="0" t="n">
        <f aca="false">R261-J261</f>
        <v>4</v>
      </c>
      <c r="U261" s="5" t="n">
        <f aca="false">M261*N261</f>
        <v>5996</v>
      </c>
      <c r="V261" s="6" t="n">
        <f aca="false">IF(O261="FLAT5",5%,IF(O261="FLAT10",10%,IF(O261="FLAT15",15%,IF(O261="FLAT20",20%,0))))</f>
        <v>0.2</v>
      </c>
      <c r="W261" s="5" t="n">
        <f aca="false">U261*(1-V261)</f>
        <v>4796.8</v>
      </c>
      <c r="X261" s="5" t="n">
        <f aca="false">W261+IF(O261="DEL0",0,Q261)</f>
        <v>4856.8</v>
      </c>
      <c r="Y261" s="0" t="str">
        <f aca="false">B261&amp;" "&amp;C261</f>
        <v>Vikram Verma</v>
      </c>
      <c r="Z261" s="0" t="str">
        <f aca="false">IF(T261&lt;P261,"BeforeTime",IF(T261=P261,"Intime","Late"))</f>
        <v>Intime</v>
      </c>
      <c r="AA261" s="0" t="str">
        <f aca="false">TEXT(J261,"mmm")</f>
        <v>Feb</v>
      </c>
      <c r="AB261" s="0" t="e">
        <f aca="false">xlookup(L261,Products!A:A,Products!B:B,"")</f>
        <v>#NAME?</v>
      </c>
    </row>
    <row r="262" customFormat="false" ht="15" hidden="false" customHeight="false" outlineLevel="0" collapsed="false">
      <c r="A262" s="0" t="s">
        <v>558</v>
      </c>
      <c r="B262" s="0" t="s">
        <v>405</v>
      </c>
      <c r="C262" s="0" t="s">
        <v>261</v>
      </c>
      <c r="D262" s="0" t="n">
        <v>38</v>
      </c>
      <c r="E262" s="0" t="s">
        <v>36</v>
      </c>
      <c r="F262" s="0" t="s">
        <v>37</v>
      </c>
      <c r="G262" s="0" t="s">
        <v>1376</v>
      </c>
      <c r="H262" s="0" t="s">
        <v>1377</v>
      </c>
      <c r="I262" s="0" t="s">
        <v>1378</v>
      </c>
      <c r="J262" s="4" t="n">
        <v>45973</v>
      </c>
      <c r="K262" s="0" t="s">
        <v>1379</v>
      </c>
      <c r="L262" s="0" t="s">
        <v>391</v>
      </c>
      <c r="M262" s="5" t="n">
        <v>3499</v>
      </c>
      <c r="N262" s="0" t="n">
        <v>4</v>
      </c>
      <c r="O262" s="0" t="s">
        <v>101</v>
      </c>
      <c r="P262" s="0" t="n">
        <v>7</v>
      </c>
      <c r="Q262" s="5" t="n">
        <v>90</v>
      </c>
      <c r="R262" s="4" t="n">
        <v>45980</v>
      </c>
      <c r="S262" s="0" t="s">
        <v>1380</v>
      </c>
      <c r="T262" s="0" t="n">
        <f aca="false">R262-J262</f>
        <v>7</v>
      </c>
      <c r="U262" s="5" t="n">
        <f aca="false">M262*N262</f>
        <v>13996</v>
      </c>
      <c r="V262" s="6" t="n">
        <f aca="false">IF(O262="FLAT5",5%,IF(O262="FLAT10",10%,IF(O262="FLAT15",15%,IF(O262="FLAT20",20%,0))))</f>
        <v>0.15</v>
      </c>
      <c r="W262" s="5" t="n">
        <f aca="false">U262*(1-V262)</f>
        <v>11896.6</v>
      </c>
      <c r="X262" s="5" t="n">
        <f aca="false">W262+IF(O262="DEL0",0,Q262)</f>
        <v>11986.6</v>
      </c>
      <c r="Y262" s="0" t="str">
        <f aca="false">B262&amp;" "&amp;C262</f>
        <v>Sneha Kumar</v>
      </c>
      <c r="Z262" s="0" t="str">
        <f aca="false">IF(T262&lt;P262,"BeforeTime",IF(T262=P262,"Intime","Late"))</f>
        <v>Intime</v>
      </c>
      <c r="AA262" s="0" t="str">
        <f aca="false">TEXT(J262,"mmm")</f>
        <v>Nov</v>
      </c>
      <c r="AB262" s="0" t="e">
        <f aca="false">xlookup(L262,Products!A:A,Products!B:B,"")</f>
        <v>#NAME?</v>
      </c>
    </row>
    <row r="263" customFormat="false" ht="15" hidden="false" customHeight="false" outlineLevel="0" collapsed="false">
      <c r="A263" s="0" t="s">
        <v>1062</v>
      </c>
      <c r="B263" s="0" t="s">
        <v>582</v>
      </c>
      <c r="C263" s="0" t="s">
        <v>35</v>
      </c>
      <c r="D263" s="0" t="n">
        <v>40</v>
      </c>
      <c r="E263" s="0" t="s">
        <v>36</v>
      </c>
      <c r="F263" s="0" t="s">
        <v>37</v>
      </c>
      <c r="G263" s="0" t="s">
        <v>1381</v>
      </c>
      <c r="H263" s="0" t="s">
        <v>852</v>
      </c>
      <c r="I263" s="0" t="s">
        <v>1382</v>
      </c>
      <c r="J263" s="4" t="n">
        <v>45842</v>
      </c>
      <c r="K263" s="0" t="s">
        <v>1383</v>
      </c>
      <c r="L263" s="0" t="s">
        <v>82</v>
      </c>
      <c r="M263" s="5" t="n">
        <v>1199</v>
      </c>
      <c r="N263" s="0" t="n">
        <v>4</v>
      </c>
      <c r="O263" s="0" t="s">
        <v>91</v>
      </c>
      <c r="P263" s="0" t="n">
        <v>3</v>
      </c>
      <c r="Q263" s="5" t="n">
        <v>60</v>
      </c>
      <c r="R263" s="4" t="n">
        <v>45845</v>
      </c>
      <c r="S263" s="0" t="s">
        <v>1195</v>
      </c>
      <c r="T263" s="0" t="n">
        <f aca="false">R263-J263</f>
        <v>3</v>
      </c>
      <c r="U263" s="5" t="n">
        <f aca="false">M263*N263</f>
        <v>4796</v>
      </c>
      <c r="V263" s="6" t="n">
        <f aca="false">IF(O263="FLAT5",5%,IF(O263="FLAT10",10%,IF(O263="FLAT15",15%,IF(O263="FLAT20",20%,0))))</f>
        <v>0.1</v>
      </c>
      <c r="W263" s="5" t="n">
        <f aca="false">U263*(1-V263)</f>
        <v>4316.4</v>
      </c>
      <c r="X263" s="5" t="n">
        <f aca="false">W263+IF(O263="DEL0",0,Q263)</f>
        <v>4376.4</v>
      </c>
      <c r="Y263" s="0" t="str">
        <f aca="false">B263&amp;" "&amp;C263</f>
        <v>Kavya Sharma</v>
      </c>
      <c r="Z263" s="0" t="str">
        <f aca="false">IF(T263&lt;P263,"BeforeTime",IF(T263=P263,"Intime","Late"))</f>
        <v>Intime</v>
      </c>
      <c r="AA263" s="0" t="str">
        <f aca="false">TEXT(J263,"mmm")</f>
        <v>Jul</v>
      </c>
      <c r="AB263" s="0" t="e">
        <f aca="false">xlookup(L263,Products!A:A,Products!B:B,"")</f>
        <v>#NAME?</v>
      </c>
    </row>
    <row r="264" customFormat="false" ht="15" hidden="false" customHeight="false" outlineLevel="0" collapsed="false">
      <c r="A264" s="0" t="s">
        <v>235</v>
      </c>
      <c r="B264" s="0" t="s">
        <v>46</v>
      </c>
      <c r="C264" s="0" t="s">
        <v>261</v>
      </c>
      <c r="D264" s="0" t="n">
        <v>31</v>
      </c>
      <c r="E264" s="0" t="s">
        <v>36</v>
      </c>
      <c r="F264" s="0" t="s">
        <v>114</v>
      </c>
      <c r="G264" s="0" t="s">
        <v>1384</v>
      </c>
      <c r="H264" s="0" t="s">
        <v>1385</v>
      </c>
      <c r="I264" s="0" t="s">
        <v>1386</v>
      </c>
      <c r="J264" s="4" t="n">
        <v>45978</v>
      </c>
      <c r="K264" s="0" t="s">
        <v>1387</v>
      </c>
      <c r="L264" s="0" t="s">
        <v>42</v>
      </c>
      <c r="M264" s="5" t="n">
        <v>2199</v>
      </c>
      <c r="N264" s="0" t="n">
        <v>2</v>
      </c>
      <c r="O264" s="0" t="s">
        <v>91</v>
      </c>
      <c r="P264" s="0" t="n">
        <v>2</v>
      </c>
      <c r="Q264" s="5" t="n">
        <v>40</v>
      </c>
      <c r="R264" s="4" t="n">
        <v>45980</v>
      </c>
      <c r="S264" s="0" t="s">
        <v>1388</v>
      </c>
      <c r="T264" s="0" t="n">
        <f aca="false">R264-J264</f>
        <v>2</v>
      </c>
      <c r="U264" s="5" t="n">
        <f aca="false">M264*N264</f>
        <v>4398</v>
      </c>
      <c r="V264" s="6" t="n">
        <f aca="false">IF(O264="FLAT5",5%,IF(O264="FLAT10",10%,IF(O264="FLAT15",15%,IF(O264="FLAT20",20%,0))))</f>
        <v>0.1</v>
      </c>
      <c r="W264" s="5" t="n">
        <f aca="false">U264*(1-V264)</f>
        <v>3958.2</v>
      </c>
      <c r="X264" s="5" t="n">
        <f aca="false">W264+IF(O264="DEL0",0,Q264)</f>
        <v>3998.2</v>
      </c>
      <c r="Y264" s="0" t="str">
        <f aca="false">B264&amp;" "&amp;C264</f>
        <v>Sanjana Kumar</v>
      </c>
      <c r="Z264" s="0" t="str">
        <f aca="false">IF(T264&lt;P264,"BeforeTime",IF(T264=P264,"Intime","Late"))</f>
        <v>Intime</v>
      </c>
      <c r="AA264" s="0" t="str">
        <f aca="false">TEXT(J264,"mmm")</f>
        <v>Nov</v>
      </c>
      <c r="AB264" s="0" t="e">
        <f aca="false">xlookup(L264,Products!A:A,Products!B:B,"")</f>
        <v>#NAME?</v>
      </c>
    </row>
    <row r="265" customFormat="false" ht="15" hidden="false" customHeight="false" outlineLevel="0" collapsed="false">
      <c r="A265" s="0" t="s">
        <v>1389</v>
      </c>
      <c r="B265" s="0" t="s">
        <v>94</v>
      </c>
      <c r="C265" s="0" t="s">
        <v>47</v>
      </c>
      <c r="D265" s="0" t="n">
        <v>22</v>
      </c>
      <c r="E265" s="0" t="s">
        <v>48</v>
      </c>
      <c r="F265" s="0" t="s">
        <v>77</v>
      </c>
      <c r="G265" s="0" t="s">
        <v>1390</v>
      </c>
      <c r="H265" s="0" t="s">
        <v>1391</v>
      </c>
      <c r="I265" s="0" t="s">
        <v>1392</v>
      </c>
      <c r="J265" s="4" t="n">
        <v>45734</v>
      </c>
      <c r="K265" s="0" t="s">
        <v>1393</v>
      </c>
      <c r="L265" s="0" t="s">
        <v>240</v>
      </c>
      <c r="M265" s="5" t="n">
        <v>4999</v>
      </c>
      <c r="N265" s="0" t="n">
        <v>4</v>
      </c>
      <c r="O265" s="0" t="s">
        <v>43</v>
      </c>
      <c r="P265" s="0" t="n">
        <v>4</v>
      </c>
      <c r="Q265" s="5" t="n">
        <v>90</v>
      </c>
      <c r="R265" s="4" t="n">
        <v>45738</v>
      </c>
      <c r="S265" s="0" t="s">
        <v>896</v>
      </c>
      <c r="T265" s="0" t="n">
        <f aca="false">R265-J265</f>
        <v>4</v>
      </c>
      <c r="U265" s="5" t="n">
        <f aca="false">M265*N265</f>
        <v>19996</v>
      </c>
      <c r="V265" s="6" t="n">
        <f aca="false">IF(O265="FLAT5",5%,IF(O265="FLAT10",10%,IF(O265="FLAT15",15%,IF(O265="FLAT20",20%,0))))</f>
        <v>0.2</v>
      </c>
      <c r="W265" s="5" t="n">
        <f aca="false">U265*(1-V265)</f>
        <v>15996.8</v>
      </c>
      <c r="X265" s="5" t="n">
        <f aca="false">W265+IF(O265="DEL0",0,Q265)</f>
        <v>16086.8</v>
      </c>
      <c r="Y265" s="0" t="str">
        <f aca="false">B265&amp;" "&amp;C265</f>
        <v>Manoj Verma</v>
      </c>
      <c r="Z265" s="0" t="str">
        <f aca="false">IF(T265&lt;P265,"BeforeTime",IF(T265=P265,"Intime","Late"))</f>
        <v>Intime</v>
      </c>
      <c r="AA265" s="0" t="str">
        <f aca="false">TEXT(J265,"mmm")</f>
        <v>Mar</v>
      </c>
      <c r="AB265" s="0" t="e">
        <f aca="false">xlookup(L265,Products!A:A,Products!B:B,"")</f>
        <v>#NAME?</v>
      </c>
    </row>
    <row r="266" customFormat="false" ht="15" hidden="false" customHeight="false" outlineLevel="0" collapsed="false">
      <c r="A266" s="0" t="s">
        <v>1394</v>
      </c>
      <c r="B266" s="0" t="s">
        <v>294</v>
      </c>
      <c r="C266" s="0" t="s">
        <v>417</v>
      </c>
      <c r="D266" s="0" t="n">
        <v>52</v>
      </c>
      <c r="E266" s="0" t="s">
        <v>36</v>
      </c>
      <c r="F266" s="0" t="s">
        <v>37</v>
      </c>
      <c r="G266" s="0" t="s">
        <v>1395</v>
      </c>
      <c r="H266" s="0" t="s">
        <v>1396</v>
      </c>
      <c r="I266" s="0" t="s">
        <v>1397</v>
      </c>
      <c r="J266" s="4" t="n">
        <v>45729</v>
      </c>
      <c r="K266" s="0" t="s">
        <v>1398</v>
      </c>
      <c r="L266" s="0" t="s">
        <v>64</v>
      </c>
      <c r="M266" s="5" t="n">
        <v>2799</v>
      </c>
      <c r="N266" s="0" t="n">
        <v>2</v>
      </c>
      <c r="O266" s="0" t="s">
        <v>54</v>
      </c>
      <c r="P266" s="0" t="n">
        <v>5</v>
      </c>
      <c r="Q266" s="5" t="n">
        <v>0</v>
      </c>
      <c r="R266" s="4" t="n">
        <v>45731</v>
      </c>
      <c r="S266" s="0" t="s">
        <v>298</v>
      </c>
      <c r="T266" s="0" t="n">
        <f aca="false">R266-J266</f>
        <v>2</v>
      </c>
      <c r="U266" s="5" t="n">
        <f aca="false">M266*N266</f>
        <v>5598</v>
      </c>
      <c r="V266" s="6" t="n">
        <f aca="false">IF(O266="FLAT5",5%,IF(O266="FLAT10",10%,IF(O266="FLAT15",15%,IF(O266="FLAT20",20%,0))))</f>
        <v>0</v>
      </c>
      <c r="W266" s="5" t="n">
        <f aca="false">U266*(1-V266)</f>
        <v>5598</v>
      </c>
      <c r="X266" s="5" t="n">
        <f aca="false">W266+IF(O266="DEL0",0,Q266)</f>
        <v>5598</v>
      </c>
      <c r="Y266" s="0" t="str">
        <f aca="false">B266&amp;" "&amp;C266</f>
        <v>Aditya Mehta</v>
      </c>
      <c r="Z266" s="0" t="str">
        <f aca="false">IF(T266&lt;P266,"BeforeTime",IF(T266=P266,"Intime","Late"))</f>
        <v>BeforeTime</v>
      </c>
      <c r="AA266" s="0" t="str">
        <f aca="false">TEXT(J266,"mmm")</f>
        <v>Mar</v>
      </c>
      <c r="AB266" s="0" t="e">
        <f aca="false">xlookup(L266,Products!A:A,Products!B:B,"")</f>
        <v>#NAME?</v>
      </c>
    </row>
    <row r="267" customFormat="false" ht="15" hidden="false" customHeight="false" outlineLevel="0" collapsed="false">
      <c r="A267" s="0" t="s">
        <v>1188</v>
      </c>
      <c r="B267" s="0" t="s">
        <v>147</v>
      </c>
      <c r="C267" s="0" t="s">
        <v>123</v>
      </c>
      <c r="D267" s="0" t="n">
        <v>24</v>
      </c>
      <c r="E267" s="0" t="s">
        <v>48</v>
      </c>
      <c r="F267" s="0" t="s">
        <v>59</v>
      </c>
      <c r="G267" s="0" t="s">
        <v>1399</v>
      </c>
      <c r="H267" s="0" t="s">
        <v>1400</v>
      </c>
      <c r="I267" s="0" t="s">
        <v>1401</v>
      </c>
      <c r="J267" s="4" t="n">
        <v>45923</v>
      </c>
      <c r="K267" s="0" t="s">
        <v>728</v>
      </c>
      <c r="L267" s="0" t="s">
        <v>100</v>
      </c>
      <c r="M267" s="5" t="n">
        <v>999</v>
      </c>
      <c r="N267" s="0" t="n">
        <v>1</v>
      </c>
      <c r="O267" s="0" t="s">
        <v>43</v>
      </c>
      <c r="P267" s="0" t="n">
        <v>4</v>
      </c>
      <c r="Q267" s="5" t="n">
        <v>75</v>
      </c>
      <c r="R267" s="4" t="n">
        <v>45927</v>
      </c>
      <c r="S267" s="0" t="s">
        <v>274</v>
      </c>
      <c r="T267" s="0" t="n">
        <f aca="false">R267-J267</f>
        <v>4</v>
      </c>
      <c r="U267" s="5" t="n">
        <f aca="false">M267*N267</f>
        <v>999</v>
      </c>
      <c r="V267" s="6" t="n">
        <f aca="false">IF(O267="FLAT5",5%,IF(O267="FLAT10",10%,IF(O267="FLAT15",15%,IF(O267="FLAT20",20%,0))))</f>
        <v>0.2</v>
      </c>
      <c r="W267" s="5" t="n">
        <f aca="false">U267*(1-V267)</f>
        <v>799.2</v>
      </c>
      <c r="X267" s="5" t="n">
        <f aca="false">W267+IF(O267="DEL0",0,Q267)</f>
        <v>874.2</v>
      </c>
      <c r="Y267" s="0" t="str">
        <f aca="false">B267&amp;" "&amp;C267</f>
        <v>Pooja Nair</v>
      </c>
      <c r="Z267" s="0" t="str">
        <f aca="false">IF(T267&lt;P267,"BeforeTime",IF(T267=P267,"Intime","Late"))</f>
        <v>Intime</v>
      </c>
      <c r="AA267" s="0" t="str">
        <f aca="false">TEXT(J267,"mmm")</f>
        <v>Sep</v>
      </c>
      <c r="AB267" s="0" t="e">
        <f aca="false">xlookup(L267,Products!A:A,Products!B:B,"")</f>
        <v>#NAME?</v>
      </c>
    </row>
    <row r="268" customFormat="false" ht="15" hidden="false" customHeight="false" outlineLevel="0" collapsed="false">
      <c r="A268" s="0" t="s">
        <v>1146</v>
      </c>
      <c r="B268" s="0" t="s">
        <v>269</v>
      </c>
      <c r="C268" s="0" t="s">
        <v>181</v>
      </c>
      <c r="D268" s="0" t="n">
        <v>36</v>
      </c>
      <c r="E268" s="0" t="s">
        <v>36</v>
      </c>
      <c r="F268" s="0" t="s">
        <v>160</v>
      </c>
      <c r="G268" s="0" t="s">
        <v>1402</v>
      </c>
      <c r="H268" s="0" t="s">
        <v>1403</v>
      </c>
      <c r="I268" s="0" t="s">
        <v>1404</v>
      </c>
      <c r="J268" s="4" t="n">
        <v>45992</v>
      </c>
      <c r="K268" s="0" t="s">
        <v>1140</v>
      </c>
      <c r="L268" s="0" t="s">
        <v>119</v>
      </c>
      <c r="M268" s="5" t="n">
        <v>899</v>
      </c>
      <c r="N268" s="0" t="n">
        <v>4</v>
      </c>
      <c r="O268" s="0" t="s">
        <v>91</v>
      </c>
      <c r="P268" s="0" t="n">
        <v>2</v>
      </c>
      <c r="Q268" s="5" t="n">
        <v>75</v>
      </c>
      <c r="R268" s="4" t="n">
        <v>45994</v>
      </c>
      <c r="S268" s="0" t="s">
        <v>1405</v>
      </c>
      <c r="T268" s="0" t="n">
        <f aca="false">R268-J268</f>
        <v>2</v>
      </c>
      <c r="U268" s="5" t="n">
        <f aca="false">M268*N268</f>
        <v>3596</v>
      </c>
      <c r="V268" s="6" t="n">
        <f aca="false">IF(O268="FLAT5",5%,IF(O268="FLAT10",10%,IF(O268="FLAT15",15%,IF(O268="FLAT20",20%,0))))</f>
        <v>0.1</v>
      </c>
      <c r="W268" s="5" t="n">
        <f aca="false">U268*(1-V268)</f>
        <v>3236.4</v>
      </c>
      <c r="X268" s="5" t="n">
        <f aca="false">W268+IF(O268="DEL0",0,Q268)</f>
        <v>3311.4</v>
      </c>
      <c r="Y268" s="0" t="str">
        <f aca="false">B268&amp;" "&amp;C268</f>
        <v>Varun Gupta</v>
      </c>
      <c r="Z268" s="0" t="str">
        <f aca="false">IF(T268&lt;P268,"BeforeTime",IF(T268=P268,"Intime","Late"))</f>
        <v>Intime</v>
      </c>
      <c r="AA268" s="0" t="str">
        <f aca="false">TEXT(J268,"mmm")</f>
        <v>Dec</v>
      </c>
      <c r="AB268" s="0" t="e">
        <f aca="false">xlookup(L268,Products!A:A,Products!B:B,"")</f>
        <v>#NAME?</v>
      </c>
    </row>
    <row r="269" customFormat="false" ht="15" hidden="false" customHeight="false" outlineLevel="0" collapsed="false">
      <c r="A269" s="0" t="s">
        <v>93</v>
      </c>
      <c r="B269" s="0" t="s">
        <v>147</v>
      </c>
      <c r="C269" s="0" t="s">
        <v>35</v>
      </c>
      <c r="D269" s="0" t="n">
        <v>52</v>
      </c>
      <c r="E269" s="0" t="s">
        <v>36</v>
      </c>
      <c r="F269" s="0" t="s">
        <v>248</v>
      </c>
      <c r="G269" s="0" t="s">
        <v>1406</v>
      </c>
      <c r="H269" s="0" t="s">
        <v>499</v>
      </c>
      <c r="I269" s="0" t="s">
        <v>1407</v>
      </c>
      <c r="J269" s="4" t="n">
        <v>45987</v>
      </c>
      <c r="K269" s="0" t="s">
        <v>1408</v>
      </c>
      <c r="L269" s="0" t="s">
        <v>42</v>
      </c>
      <c r="M269" s="5" t="n">
        <v>2199</v>
      </c>
      <c r="N269" s="0" t="n">
        <v>2</v>
      </c>
      <c r="O269" s="0" t="s">
        <v>83</v>
      </c>
      <c r="P269" s="0" t="n">
        <v>4</v>
      </c>
      <c r="Q269" s="5" t="n">
        <v>50</v>
      </c>
      <c r="R269" s="4" t="n">
        <v>45991</v>
      </c>
      <c r="S269" s="0" t="s">
        <v>1409</v>
      </c>
      <c r="T269" s="0" t="n">
        <f aca="false">R269-J269</f>
        <v>4</v>
      </c>
      <c r="U269" s="5" t="n">
        <f aca="false">M269*N269</f>
        <v>4398</v>
      </c>
      <c r="V269" s="6" t="n">
        <f aca="false">IF(O269="FLAT5",5%,IF(O269="FLAT10",10%,IF(O269="FLAT15",15%,IF(O269="FLAT20",20%,0))))</f>
        <v>0.05</v>
      </c>
      <c r="W269" s="5" t="n">
        <f aca="false">U269*(1-V269)</f>
        <v>4178.1</v>
      </c>
      <c r="X269" s="5" t="n">
        <f aca="false">W269+IF(O269="DEL0",0,Q269)</f>
        <v>4228.1</v>
      </c>
      <c r="Y269" s="0" t="str">
        <f aca="false">B269&amp;" "&amp;C269</f>
        <v>Pooja Sharma</v>
      </c>
      <c r="Z269" s="0" t="str">
        <f aca="false">IF(T269&lt;P269,"BeforeTime",IF(T269=P269,"Intime","Late"))</f>
        <v>Intime</v>
      </c>
      <c r="AA269" s="0" t="str">
        <f aca="false">TEXT(J269,"mmm")</f>
        <v>Nov</v>
      </c>
      <c r="AB269" s="0" t="e">
        <f aca="false">xlookup(L269,Products!A:A,Products!B:B,"")</f>
        <v>#NAME?</v>
      </c>
    </row>
    <row r="270" customFormat="false" ht="15" hidden="false" customHeight="false" outlineLevel="0" collapsed="false">
      <c r="A270" s="0" t="s">
        <v>1410</v>
      </c>
      <c r="B270" s="0" t="s">
        <v>405</v>
      </c>
      <c r="C270" s="0" t="s">
        <v>95</v>
      </c>
      <c r="D270" s="0" t="n">
        <v>41</v>
      </c>
      <c r="E270" s="0" t="s">
        <v>36</v>
      </c>
      <c r="F270" s="0" t="s">
        <v>248</v>
      </c>
      <c r="G270" s="0" t="s">
        <v>1411</v>
      </c>
      <c r="H270" s="0" t="s">
        <v>775</v>
      </c>
      <c r="I270" s="0" t="s">
        <v>1412</v>
      </c>
      <c r="J270" s="4" t="n">
        <v>45960</v>
      </c>
      <c r="K270" s="0" t="s">
        <v>665</v>
      </c>
      <c r="L270" s="0" t="s">
        <v>119</v>
      </c>
      <c r="M270" s="5" t="n">
        <v>899</v>
      </c>
      <c r="N270" s="0" t="n">
        <v>4</v>
      </c>
      <c r="O270" s="0" t="s">
        <v>101</v>
      </c>
      <c r="P270" s="0" t="n">
        <v>3</v>
      </c>
      <c r="Q270" s="5" t="n">
        <v>75</v>
      </c>
      <c r="R270" s="4" t="n">
        <v>45963</v>
      </c>
      <c r="S270" s="0" t="s">
        <v>1413</v>
      </c>
      <c r="T270" s="0" t="n">
        <f aca="false">R270-J270</f>
        <v>3</v>
      </c>
      <c r="U270" s="5" t="n">
        <f aca="false">M270*N270</f>
        <v>3596</v>
      </c>
      <c r="V270" s="6" t="n">
        <f aca="false">IF(O270="FLAT5",5%,IF(O270="FLAT10",10%,IF(O270="FLAT15",15%,IF(O270="FLAT20",20%,0))))</f>
        <v>0.15</v>
      </c>
      <c r="W270" s="5" t="n">
        <f aca="false">U270*(1-V270)</f>
        <v>3056.6</v>
      </c>
      <c r="X270" s="5" t="n">
        <f aca="false">W270+IF(O270="DEL0",0,Q270)</f>
        <v>3131.6</v>
      </c>
      <c r="Y270" s="0" t="str">
        <f aca="false">B270&amp;" "&amp;C270</f>
        <v>Sneha Mishra</v>
      </c>
      <c r="Z270" s="0" t="str">
        <f aca="false">IF(T270&lt;P270,"BeforeTime",IF(T270=P270,"Intime","Late"))</f>
        <v>Intime</v>
      </c>
      <c r="AA270" s="0" t="str">
        <f aca="false">TEXT(J270,"mmm")</f>
        <v>Oct</v>
      </c>
      <c r="AB270" s="0" t="e">
        <f aca="false">xlookup(L270,Products!A:A,Products!B:B,"")</f>
        <v>#NAME?</v>
      </c>
    </row>
    <row r="271" customFormat="false" ht="15" hidden="false" customHeight="false" outlineLevel="0" collapsed="false">
      <c r="A271" s="0" t="s">
        <v>343</v>
      </c>
      <c r="B271" s="0" t="s">
        <v>209</v>
      </c>
      <c r="C271" s="0" t="s">
        <v>210</v>
      </c>
      <c r="D271" s="0" t="n">
        <v>56</v>
      </c>
      <c r="E271" s="0" t="s">
        <v>36</v>
      </c>
      <c r="F271" s="0" t="s">
        <v>202</v>
      </c>
      <c r="G271" s="0" t="s">
        <v>1414</v>
      </c>
      <c r="H271" s="0" t="s">
        <v>1415</v>
      </c>
      <c r="I271" s="0" t="s">
        <v>1416</v>
      </c>
      <c r="J271" s="4" t="n">
        <v>45922</v>
      </c>
      <c r="K271" s="0" t="s">
        <v>1417</v>
      </c>
      <c r="L271" s="0" t="s">
        <v>42</v>
      </c>
      <c r="M271" s="5" t="n">
        <v>2199</v>
      </c>
      <c r="N271" s="0" t="n">
        <v>3</v>
      </c>
      <c r="O271" s="0" t="s">
        <v>259</v>
      </c>
      <c r="P271" s="0" t="n">
        <v>5</v>
      </c>
      <c r="Q271" s="5" t="n">
        <v>90</v>
      </c>
      <c r="R271" s="4" t="n">
        <v>45927</v>
      </c>
      <c r="S271" s="0" t="s">
        <v>1418</v>
      </c>
      <c r="T271" s="0" t="n">
        <f aca="false">R271-J271</f>
        <v>5</v>
      </c>
      <c r="U271" s="5" t="n">
        <f aca="false">M271*N271</f>
        <v>6597</v>
      </c>
      <c r="V271" s="6" t="n">
        <f aca="false">IF(O271="FLAT5",5%,IF(O271="FLAT10",10%,IF(O271="FLAT15",15%,IF(O271="FLAT20",20%,0))))</f>
        <v>0</v>
      </c>
      <c r="W271" s="5" t="n">
        <f aca="false">U271*(1-V271)</f>
        <v>6597</v>
      </c>
      <c r="X271" s="5" t="n">
        <f aca="false">W271+IF(O271="DEL0",0,Q271)</f>
        <v>6687</v>
      </c>
      <c r="Y271" s="0" t="str">
        <f aca="false">B271&amp;" "&amp;C271</f>
        <v>Ishaan Reddy</v>
      </c>
      <c r="Z271" s="0" t="str">
        <f aca="false">IF(T271&lt;P271,"BeforeTime",IF(T271=P271,"Intime","Late"))</f>
        <v>Intime</v>
      </c>
      <c r="AA271" s="0" t="str">
        <f aca="false">TEXT(J271,"mmm")</f>
        <v>Sep</v>
      </c>
      <c r="AB271" s="0" t="e">
        <f aca="false">xlookup(L271,Products!A:A,Products!B:B,"")</f>
        <v>#NAME?</v>
      </c>
    </row>
    <row r="272" customFormat="false" ht="15" hidden="false" customHeight="false" outlineLevel="0" collapsed="false">
      <c r="A272" s="0" t="s">
        <v>85</v>
      </c>
      <c r="B272" s="0" t="s">
        <v>147</v>
      </c>
      <c r="C272" s="0" t="s">
        <v>167</v>
      </c>
      <c r="D272" s="0" t="n">
        <v>30</v>
      </c>
      <c r="E272" s="0" t="s">
        <v>36</v>
      </c>
      <c r="F272" s="0" t="s">
        <v>160</v>
      </c>
      <c r="G272" s="0" t="s">
        <v>1419</v>
      </c>
      <c r="H272" s="0" t="s">
        <v>1420</v>
      </c>
      <c r="I272" s="0" t="s">
        <v>1421</v>
      </c>
      <c r="J272" s="4" t="n">
        <v>45751</v>
      </c>
      <c r="K272" s="0" t="s">
        <v>1422</v>
      </c>
      <c r="L272" s="0" t="s">
        <v>64</v>
      </c>
      <c r="M272" s="5" t="n">
        <v>2799</v>
      </c>
      <c r="N272" s="0" t="n">
        <v>2</v>
      </c>
      <c r="O272" s="0" t="s">
        <v>54</v>
      </c>
      <c r="P272" s="0" t="n">
        <v>6</v>
      </c>
      <c r="Q272" s="5" t="n">
        <v>0</v>
      </c>
      <c r="R272" s="4" t="n">
        <v>45757</v>
      </c>
      <c r="S272" s="0" t="s">
        <v>1423</v>
      </c>
      <c r="T272" s="0" t="n">
        <f aca="false">R272-J272</f>
        <v>6</v>
      </c>
      <c r="U272" s="5" t="n">
        <f aca="false">M272*N272</f>
        <v>5598</v>
      </c>
      <c r="V272" s="6" t="n">
        <f aca="false">IF(O272="FLAT5",5%,IF(O272="FLAT10",10%,IF(O272="FLAT15",15%,IF(O272="FLAT20",20%,0))))</f>
        <v>0</v>
      </c>
      <c r="W272" s="5" t="n">
        <f aca="false">U272*(1-V272)</f>
        <v>5598</v>
      </c>
      <c r="X272" s="5" t="n">
        <f aca="false">W272+IF(O272="DEL0",0,Q272)</f>
        <v>5598</v>
      </c>
      <c r="Y272" s="0" t="str">
        <f aca="false">B272&amp;" "&amp;C272</f>
        <v>Pooja Chowdhury</v>
      </c>
      <c r="Z272" s="0" t="str">
        <f aca="false">IF(T272&lt;P272,"BeforeTime",IF(T272=P272,"Intime","Late"))</f>
        <v>Intime</v>
      </c>
      <c r="AA272" s="0" t="str">
        <f aca="false">TEXT(J272,"mmm")</f>
        <v>Apr</v>
      </c>
      <c r="AB272" s="0" t="e">
        <f aca="false">xlookup(L272,Products!A:A,Products!B:B,"")</f>
        <v>#NAME?</v>
      </c>
    </row>
    <row r="273" customFormat="false" ht="15" hidden="false" customHeight="false" outlineLevel="0" collapsed="false">
      <c r="A273" s="0" t="s">
        <v>723</v>
      </c>
      <c r="B273" s="0" t="s">
        <v>405</v>
      </c>
      <c r="C273" s="0" t="s">
        <v>58</v>
      </c>
      <c r="D273" s="0" t="n">
        <v>44</v>
      </c>
      <c r="E273" s="0" t="s">
        <v>36</v>
      </c>
      <c r="F273" s="0" t="s">
        <v>140</v>
      </c>
      <c r="G273" s="0" t="s">
        <v>1424</v>
      </c>
      <c r="H273" s="0" t="s">
        <v>1349</v>
      </c>
      <c r="I273" s="0" t="s">
        <v>1425</v>
      </c>
      <c r="J273" s="4" t="n">
        <v>45916</v>
      </c>
      <c r="K273" s="0" t="s">
        <v>1167</v>
      </c>
      <c r="L273" s="0" t="s">
        <v>110</v>
      </c>
      <c r="M273" s="5" t="n">
        <v>1499</v>
      </c>
      <c r="N273" s="0" t="n">
        <v>2</v>
      </c>
      <c r="O273" s="0" t="s">
        <v>101</v>
      </c>
      <c r="P273" s="0" t="n">
        <v>7</v>
      </c>
      <c r="Q273" s="5" t="n">
        <v>50</v>
      </c>
      <c r="R273" s="4" t="n">
        <v>45923</v>
      </c>
      <c r="S273" s="0" t="s">
        <v>1021</v>
      </c>
      <c r="T273" s="0" t="n">
        <f aca="false">R273-J273</f>
        <v>7</v>
      </c>
      <c r="U273" s="5" t="n">
        <f aca="false">M273*N273</f>
        <v>2998</v>
      </c>
      <c r="V273" s="6" t="n">
        <f aca="false">IF(O273="FLAT5",5%,IF(O273="FLAT10",10%,IF(O273="FLAT15",15%,IF(O273="FLAT20",20%,0))))</f>
        <v>0.15</v>
      </c>
      <c r="W273" s="5" t="n">
        <f aca="false">U273*(1-V273)</f>
        <v>2548.3</v>
      </c>
      <c r="X273" s="5" t="n">
        <f aca="false">W273+IF(O273="DEL0",0,Q273)</f>
        <v>2598.3</v>
      </c>
      <c r="Y273" s="0" t="str">
        <f aca="false">B273&amp;" "&amp;C273</f>
        <v>Sneha Iyer</v>
      </c>
      <c r="Z273" s="0" t="str">
        <f aca="false">IF(T273&lt;P273,"BeforeTime",IF(T273=P273,"Intime","Late"))</f>
        <v>Intime</v>
      </c>
      <c r="AA273" s="0" t="str">
        <f aca="false">TEXT(J273,"mmm")</f>
        <v>Sep</v>
      </c>
      <c r="AB273" s="0" t="e">
        <f aca="false">xlookup(L273,Products!A:A,Products!B:B,"")</f>
        <v>#NAME?</v>
      </c>
    </row>
    <row r="274" customFormat="false" ht="15" hidden="false" customHeight="false" outlineLevel="0" collapsed="false">
      <c r="A274" s="0" t="s">
        <v>1426</v>
      </c>
      <c r="B274" s="0" t="s">
        <v>174</v>
      </c>
      <c r="C274" s="0" t="s">
        <v>261</v>
      </c>
      <c r="D274" s="0" t="n">
        <v>25</v>
      </c>
      <c r="E274" s="0" t="s">
        <v>48</v>
      </c>
      <c r="F274" s="0" t="s">
        <v>262</v>
      </c>
      <c r="G274" s="0" t="s">
        <v>1427</v>
      </c>
      <c r="H274" s="0" t="s">
        <v>1428</v>
      </c>
      <c r="I274" s="0" t="s">
        <v>1429</v>
      </c>
      <c r="J274" s="4" t="n">
        <v>46005</v>
      </c>
      <c r="K274" s="0" t="s">
        <v>1430</v>
      </c>
      <c r="L274" s="0" t="s">
        <v>64</v>
      </c>
      <c r="M274" s="5" t="n">
        <v>2799</v>
      </c>
      <c r="N274" s="0" t="n">
        <v>1</v>
      </c>
      <c r="O274" s="0" t="s">
        <v>259</v>
      </c>
      <c r="P274" s="0" t="n">
        <v>7</v>
      </c>
      <c r="Q274" s="5" t="n">
        <v>75</v>
      </c>
      <c r="R274" s="4" t="n">
        <v>46012</v>
      </c>
      <c r="S274" s="0" t="s">
        <v>1237</v>
      </c>
      <c r="T274" s="0" t="n">
        <f aca="false">R274-J274</f>
        <v>7</v>
      </c>
      <c r="U274" s="5" t="n">
        <f aca="false">M274*N274</f>
        <v>2799</v>
      </c>
      <c r="V274" s="6" t="n">
        <f aca="false">IF(O274="FLAT5",5%,IF(O274="FLAT10",10%,IF(O274="FLAT15",15%,IF(O274="FLAT20",20%,0))))</f>
        <v>0</v>
      </c>
      <c r="W274" s="5" t="n">
        <f aca="false">U274*(1-V274)</f>
        <v>2799</v>
      </c>
      <c r="X274" s="5" t="n">
        <f aca="false">W274+IF(O274="DEL0",0,Q274)</f>
        <v>2874</v>
      </c>
      <c r="Y274" s="0" t="str">
        <f aca="false">B274&amp;" "&amp;C274</f>
        <v>Ananya Kumar</v>
      </c>
      <c r="Z274" s="0" t="str">
        <f aca="false">IF(T274&lt;P274,"BeforeTime",IF(T274=P274,"Intime","Late"))</f>
        <v>Intime</v>
      </c>
      <c r="AA274" s="0" t="str">
        <f aca="false">TEXT(J274,"mmm")</f>
        <v>Dec</v>
      </c>
      <c r="AB274" s="0" t="e">
        <f aca="false">xlookup(L274,Products!A:A,Products!B:B,"")</f>
        <v>#NAME?</v>
      </c>
    </row>
    <row r="275" customFormat="false" ht="15" hidden="false" customHeight="false" outlineLevel="0" collapsed="false">
      <c r="A275" s="0" t="s">
        <v>891</v>
      </c>
      <c r="B275" s="0" t="s">
        <v>294</v>
      </c>
      <c r="C275" s="0" t="s">
        <v>417</v>
      </c>
      <c r="D275" s="0" t="n">
        <v>57</v>
      </c>
      <c r="E275" s="0" t="s">
        <v>36</v>
      </c>
      <c r="F275" s="0" t="s">
        <v>160</v>
      </c>
      <c r="G275" s="0" t="s">
        <v>1431</v>
      </c>
      <c r="H275" s="0" t="s">
        <v>493</v>
      </c>
      <c r="I275" s="0" t="s">
        <v>1432</v>
      </c>
      <c r="J275" s="4" t="n">
        <v>45777</v>
      </c>
      <c r="K275" s="0" t="s">
        <v>1433</v>
      </c>
      <c r="L275" s="0" t="s">
        <v>42</v>
      </c>
      <c r="M275" s="5" t="n">
        <v>2199</v>
      </c>
      <c r="N275" s="0" t="n">
        <v>3</v>
      </c>
      <c r="O275" s="0" t="s">
        <v>101</v>
      </c>
      <c r="P275" s="0" t="n">
        <v>2</v>
      </c>
      <c r="Q275" s="5" t="n">
        <v>90</v>
      </c>
      <c r="R275" s="4" t="n">
        <v>45779</v>
      </c>
      <c r="S275" s="0" t="s">
        <v>1434</v>
      </c>
      <c r="T275" s="0" t="n">
        <f aca="false">R275-J275</f>
        <v>2</v>
      </c>
      <c r="U275" s="5" t="n">
        <f aca="false">M275*N275</f>
        <v>6597</v>
      </c>
      <c r="V275" s="6" t="n">
        <f aca="false">IF(O275="FLAT5",5%,IF(O275="FLAT10",10%,IF(O275="FLAT15",15%,IF(O275="FLAT20",20%,0))))</f>
        <v>0.15</v>
      </c>
      <c r="W275" s="5" t="n">
        <f aca="false">U275*(1-V275)</f>
        <v>5607.45</v>
      </c>
      <c r="X275" s="5" t="n">
        <f aca="false">W275+IF(O275="DEL0",0,Q275)</f>
        <v>5697.45</v>
      </c>
      <c r="Y275" s="0" t="str">
        <f aca="false">B275&amp;" "&amp;C275</f>
        <v>Aditya Mehta</v>
      </c>
      <c r="Z275" s="0" t="str">
        <f aca="false">IF(T275&lt;P275,"BeforeTime",IF(T275=P275,"Intime","Late"))</f>
        <v>Intime</v>
      </c>
      <c r="AA275" s="0" t="str">
        <f aca="false">TEXT(J275,"mmm")</f>
        <v>Apr</v>
      </c>
      <c r="AB275" s="0" t="e">
        <f aca="false">xlookup(L275,Products!A:A,Products!B:B,"")</f>
        <v>#NAME?</v>
      </c>
    </row>
    <row r="276" customFormat="false" ht="15" hidden="false" customHeight="false" outlineLevel="0" collapsed="false">
      <c r="A276" s="0" t="s">
        <v>558</v>
      </c>
      <c r="B276" s="0" t="s">
        <v>139</v>
      </c>
      <c r="C276" s="0" t="s">
        <v>261</v>
      </c>
      <c r="D276" s="0" t="n">
        <v>53</v>
      </c>
      <c r="E276" s="0" t="s">
        <v>36</v>
      </c>
      <c r="F276" s="0" t="s">
        <v>160</v>
      </c>
      <c r="G276" s="0" t="s">
        <v>1435</v>
      </c>
      <c r="H276" s="0" t="s">
        <v>1436</v>
      </c>
      <c r="I276" s="0" t="s">
        <v>1437</v>
      </c>
      <c r="J276" s="4" t="n">
        <v>45819</v>
      </c>
      <c r="K276" s="0" t="s">
        <v>918</v>
      </c>
      <c r="L276" s="0" t="s">
        <v>119</v>
      </c>
      <c r="M276" s="5" t="n">
        <v>899</v>
      </c>
      <c r="N276" s="0" t="n">
        <v>2</v>
      </c>
      <c r="O276" s="0" t="s">
        <v>54</v>
      </c>
      <c r="P276" s="0" t="n">
        <v>5</v>
      </c>
      <c r="Q276" s="5" t="n">
        <v>0</v>
      </c>
      <c r="R276" s="4" t="n">
        <v>45824</v>
      </c>
      <c r="S276" s="0" t="s">
        <v>1438</v>
      </c>
      <c r="T276" s="0" t="n">
        <f aca="false">R276-J276</f>
        <v>5</v>
      </c>
      <c r="U276" s="5" t="n">
        <f aca="false">M276*N276</f>
        <v>1798</v>
      </c>
      <c r="V276" s="6" t="n">
        <f aca="false">IF(O276="FLAT5",5%,IF(O276="FLAT10",10%,IF(O276="FLAT15",15%,IF(O276="FLAT20",20%,0))))</f>
        <v>0</v>
      </c>
      <c r="W276" s="5" t="n">
        <f aca="false">U276*(1-V276)</f>
        <v>1798</v>
      </c>
      <c r="X276" s="5" t="n">
        <f aca="false">W276+IF(O276="DEL0",0,Q276)</f>
        <v>1798</v>
      </c>
      <c r="Y276" s="0" t="str">
        <f aca="false">B276&amp;" "&amp;C276</f>
        <v>Aarav Kumar</v>
      </c>
      <c r="Z276" s="0" t="str">
        <f aca="false">IF(T276&lt;P276,"BeforeTime",IF(T276=P276,"Intime","Late"))</f>
        <v>Intime</v>
      </c>
      <c r="AA276" s="0" t="str">
        <f aca="false">TEXT(J276,"mmm")</f>
        <v>Jun</v>
      </c>
      <c r="AB276" s="0" t="e">
        <f aca="false">xlookup(L276,Products!A:A,Products!B:B,"")</f>
        <v>#NAME?</v>
      </c>
    </row>
    <row r="277" customFormat="false" ht="15" hidden="false" customHeight="false" outlineLevel="0" collapsed="false">
      <c r="A277" s="0" t="s">
        <v>254</v>
      </c>
      <c r="B277" s="0" t="s">
        <v>94</v>
      </c>
      <c r="C277" s="0" t="s">
        <v>417</v>
      </c>
      <c r="D277" s="0" t="n">
        <v>37</v>
      </c>
      <c r="E277" s="0" t="s">
        <v>48</v>
      </c>
      <c r="F277" s="0" t="s">
        <v>37</v>
      </c>
      <c r="G277" s="0" t="s">
        <v>1439</v>
      </c>
      <c r="H277" s="0" t="s">
        <v>1440</v>
      </c>
      <c r="I277" s="0" t="s">
        <v>1441</v>
      </c>
      <c r="J277" s="4" t="n">
        <v>45944</v>
      </c>
      <c r="K277" s="0" t="s">
        <v>743</v>
      </c>
      <c r="L277" s="0" t="s">
        <v>136</v>
      </c>
      <c r="M277" s="5" t="n">
        <v>1799</v>
      </c>
      <c r="N277" s="0" t="n">
        <v>4</v>
      </c>
      <c r="O277" s="0" t="s">
        <v>83</v>
      </c>
      <c r="P277" s="0" t="n">
        <v>6</v>
      </c>
      <c r="Q277" s="5" t="n">
        <v>60</v>
      </c>
      <c r="R277" s="4" t="n">
        <v>45950</v>
      </c>
      <c r="S277" s="0" t="s">
        <v>1321</v>
      </c>
      <c r="T277" s="0" t="n">
        <f aca="false">R277-J277</f>
        <v>6</v>
      </c>
      <c r="U277" s="5" t="n">
        <f aca="false">M277*N277</f>
        <v>7196</v>
      </c>
      <c r="V277" s="6" t="n">
        <f aca="false">IF(O277="FLAT5",5%,IF(O277="FLAT10",10%,IF(O277="FLAT15",15%,IF(O277="FLAT20",20%,0))))</f>
        <v>0.05</v>
      </c>
      <c r="W277" s="5" t="n">
        <f aca="false">U277*(1-V277)</f>
        <v>6836.2</v>
      </c>
      <c r="X277" s="5" t="n">
        <f aca="false">W277+IF(O277="DEL0",0,Q277)</f>
        <v>6896.2</v>
      </c>
      <c r="Y277" s="0" t="str">
        <f aca="false">B277&amp;" "&amp;C277</f>
        <v>Manoj Mehta</v>
      </c>
      <c r="Z277" s="0" t="str">
        <f aca="false">IF(T277&lt;P277,"BeforeTime",IF(T277=P277,"Intime","Late"))</f>
        <v>Intime</v>
      </c>
      <c r="AA277" s="0" t="str">
        <f aca="false">TEXT(J277,"mmm")</f>
        <v>Oct</v>
      </c>
      <c r="AB277" s="0" t="e">
        <f aca="false">xlookup(L277,Products!A:A,Products!B:B,"")</f>
        <v>#NAME?</v>
      </c>
    </row>
    <row r="278" customFormat="false" ht="15" hidden="false" customHeight="false" outlineLevel="0" collapsed="false">
      <c r="A278" s="0" t="s">
        <v>1004</v>
      </c>
      <c r="B278" s="0" t="s">
        <v>405</v>
      </c>
      <c r="C278" s="0" t="s">
        <v>105</v>
      </c>
      <c r="D278" s="0" t="n">
        <v>30</v>
      </c>
      <c r="E278" s="0" t="s">
        <v>36</v>
      </c>
      <c r="F278" s="0" t="s">
        <v>37</v>
      </c>
      <c r="G278" s="0" t="s">
        <v>1442</v>
      </c>
      <c r="H278" s="0" t="s">
        <v>1056</v>
      </c>
      <c r="I278" s="0" t="s">
        <v>1443</v>
      </c>
      <c r="J278" s="4" t="n">
        <v>45939</v>
      </c>
      <c r="K278" s="0" t="s">
        <v>1444</v>
      </c>
      <c r="L278" s="0" t="s">
        <v>240</v>
      </c>
      <c r="M278" s="5" t="n">
        <v>4999</v>
      </c>
      <c r="N278" s="0" t="n">
        <v>4</v>
      </c>
      <c r="O278" s="0" t="s">
        <v>54</v>
      </c>
      <c r="P278" s="0" t="n">
        <v>6</v>
      </c>
      <c r="Q278" s="5" t="n">
        <v>0</v>
      </c>
      <c r="R278" s="4" t="n">
        <v>45945</v>
      </c>
      <c r="S278" s="0" t="s">
        <v>84</v>
      </c>
      <c r="T278" s="0" t="n">
        <f aca="false">R278-J278</f>
        <v>6</v>
      </c>
      <c r="U278" s="5" t="n">
        <f aca="false">M278*N278</f>
        <v>19996</v>
      </c>
      <c r="V278" s="6" t="n">
        <f aca="false">IF(O278="FLAT5",5%,IF(O278="FLAT10",10%,IF(O278="FLAT15",15%,IF(O278="FLAT20",20%,0))))</f>
        <v>0</v>
      </c>
      <c r="W278" s="5" t="n">
        <f aca="false">U278*(1-V278)</f>
        <v>19996</v>
      </c>
      <c r="X278" s="5" t="n">
        <f aca="false">W278+IF(O278="DEL0",0,Q278)</f>
        <v>19996</v>
      </c>
      <c r="Y278" s="0" t="str">
        <f aca="false">B278&amp;" "&amp;C278</f>
        <v>Sneha Bhat</v>
      </c>
      <c r="Z278" s="0" t="str">
        <f aca="false">IF(T278&lt;P278,"BeforeTime",IF(T278=P278,"Intime","Late"))</f>
        <v>Intime</v>
      </c>
      <c r="AA278" s="0" t="str">
        <f aca="false">TEXT(J278,"mmm")</f>
        <v>Oct</v>
      </c>
      <c r="AB278" s="0" t="e">
        <f aca="false">xlookup(L278,Products!A:A,Products!B:B,"")</f>
        <v>#NAME?</v>
      </c>
    </row>
    <row r="279" customFormat="false" ht="15" hidden="false" customHeight="false" outlineLevel="0" collapsed="false">
      <c r="A279" s="0" t="s">
        <v>616</v>
      </c>
      <c r="B279" s="0" t="s">
        <v>57</v>
      </c>
      <c r="C279" s="0" t="s">
        <v>195</v>
      </c>
      <c r="D279" s="0" t="n">
        <v>50</v>
      </c>
      <c r="E279" s="0" t="s">
        <v>48</v>
      </c>
      <c r="F279" s="0" t="s">
        <v>140</v>
      </c>
      <c r="G279" s="0" t="s">
        <v>1445</v>
      </c>
      <c r="H279" s="0" t="s">
        <v>190</v>
      </c>
      <c r="I279" s="0" t="s">
        <v>1446</v>
      </c>
      <c r="J279" s="4" t="n">
        <v>45698</v>
      </c>
      <c r="K279" s="0" t="s">
        <v>1447</v>
      </c>
      <c r="L279" s="0" t="s">
        <v>129</v>
      </c>
      <c r="M279" s="5" t="n">
        <v>2999</v>
      </c>
      <c r="N279" s="0" t="n">
        <v>3</v>
      </c>
      <c r="O279" s="0" t="s">
        <v>91</v>
      </c>
      <c r="P279" s="0" t="n">
        <v>6</v>
      </c>
      <c r="Q279" s="5" t="n">
        <v>75</v>
      </c>
      <c r="R279" s="4" t="n">
        <v>45702</v>
      </c>
      <c r="S279" s="0" t="s">
        <v>360</v>
      </c>
      <c r="T279" s="0" t="n">
        <f aca="false">R279-J279</f>
        <v>4</v>
      </c>
      <c r="U279" s="5" t="n">
        <f aca="false">M279*N279</f>
        <v>8997</v>
      </c>
      <c r="V279" s="6" t="n">
        <f aca="false">IF(O279="FLAT5",5%,IF(O279="FLAT10",10%,IF(O279="FLAT15",15%,IF(O279="FLAT20",20%,0))))</f>
        <v>0.1</v>
      </c>
      <c r="W279" s="5" t="n">
        <f aca="false">U279*(1-V279)</f>
        <v>8097.3</v>
      </c>
      <c r="X279" s="5" t="n">
        <f aca="false">W279+IF(O279="DEL0",0,Q279)</f>
        <v>8172.3</v>
      </c>
      <c r="Y279" s="0" t="str">
        <f aca="false">B279&amp;" "&amp;C279</f>
        <v>Arjun Singh</v>
      </c>
      <c r="Z279" s="0" t="str">
        <f aca="false">IF(T279&lt;P279,"BeforeTime",IF(T279=P279,"Intime","Late"))</f>
        <v>BeforeTime</v>
      </c>
      <c r="AA279" s="0" t="str">
        <f aca="false">TEXT(J279,"mmm")</f>
        <v>Feb</v>
      </c>
      <c r="AB279" s="0" t="e">
        <f aca="false">xlookup(L279,Products!A:A,Products!B:B,"")</f>
        <v>#NAME?</v>
      </c>
    </row>
    <row r="280" customFormat="false" ht="15" hidden="false" customHeight="false" outlineLevel="0" collapsed="false">
      <c r="A280" s="0" t="s">
        <v>616</v>
      </c>
      <c r="B280" s="0" t="s">
        <v>582</v>
      </c>
      <c r="C280" s="0" t="s">
        <v>167</v>
      </c>
      <c r="D280" s="0" t="n">
        <v>48</v>
      </c>
      <c r="E280" s="0" t="s">
        <v>36</v>
      </c>
      <c r="F280" s="0" t="s">
        <v>37</v>
      </c>
      <c r="G280" s="0" t="s">
        <v>1448</v>
      </c>
      <c r="H280" s="0" t="s">
        <v>1449</v>
      </c>
      <c r="I280" s="0" t="s">
        <v>1450</v>
      </c>
      <c r="J280" s="4" t="n">
        <v>45964</v>
      </c>
      <c r="K280" s="0" t="s">
        <v>1451</v>
      </c>
      <c r="L280" s="0" t="s">
        <v>119</v>
      </c>
      <c r="M280" s="5" t="n">
        <v>899</v>
      </c>
      <c r="N280" s="0" t="n">
        <v>3</v>
      </c>
      <c r="O280" s="0" t="s">
        <v>91</v>
      </c>
      <c r="P280" s="0" t="n">
        <v>6</v>
      </c>
      <c r="Q280" s="5" t="n">
        <v>50</v>
      </c>
      <c r="R280" s="4" t="n">
        <v>45970</v>
      </c>
      <c r="S280" s="0" t="s">
        <v>1452</v>
      </c>
      <c r="T280" s="0" t="n">
        <f aca="false">R280-J280</f>
        <v>6</v>
      </c>
      <c r="U280" s="5" t="n">
        <f aca="false">M280*N280</f>
        <v>2697</v>
      </c>
      <c r="V280" s="6" t="n">
        <f aca="false">IF(O280="FLAT5",5%,IF(O280="FLAT10",10%,IF(O280="FLAT15",15%,IF(O280="FLAT20",20%,0))))</f>
        <v>0.1</v>
      </c>
      <c r="W280" s="5" t="n">
        <f aca="false">U280*(1-V280)</f>
        <v>2427.3</v>
      </c>
      <c r="X280" s="5" t="n">
        <f aca="false">W280+IF(O280="DEL0",0,Q280)</f>
        <v>2477.3</v>
      </c>
      <c r="Y280" s="0" t="str">
        <f aca="false">B280&amp;" "&amp;C280</f>
        <v>Kavya Chowdhury</v>
      </c>
      <c r="Z280" s="0" t="str">
        <f aca="false">IF(T280&lt;P280,"BeforeTime",IF(T280=P280,"Intime","Late"))</f>
        <v>Intime</v>
      </c>
      <c r="AA280" s="0" t="str">
        <f aca="false">TEXT(J280,"mmm")</f>
        <v>Nov</v>
      </c>
      <c r="AB280" s="0" t="e">
        <f aca="false">xlookup(L280,Products!A:A,Products!B:B,"")</f>
        <v>#NAME?</v>
      </c>
    </row>
    <row r="281" customFormat="false" ht="15" hidden="false" customHeight="false" outlineLevel="0" collapsed="false">
      <c r="A281" s="0" t="s">
        <v>242</v>
      </c>
      <c r="B281" s="0" t="s">
        <v>582</v>
      </c>
      <c r="C281" s="0" t="s">
        <v>76</v>
      </c>
      <c r="D281" s="0" t="n">
        <v>37</v>
      </c>
      <c r="E281" s="0" t="s">
        <v>48</v>
      </c>
      <c r="F281" s="0" t="s">
        <v>59</v>
      </c>
      <c r="G281" s="0" t="s">
        <v>1453</v>
      </c>
      <c r="H281" s="0" t="s">
        <v>1454</v>
      </c>
      <c r="I281" s="0" t="s">
        <v>1455</v>
      </c>
      <c r="J281" s="4" t="n">
        <v>45760</v>
      </c>
      <c r="K281" s="0" t="s">
        <v>712</v>
      </c>
      <c r="L281" s="0" t="s">
        <v>119</v>
      </c>
      <c r="M281" s="5" t="n">
        <v>899</v>
      </c>
      <c r="N281" s="0" t="n">
        <v>4</v>
      </c>
      <c r="O281" s="0" t="s">
        <v>91</v>
      </c>
      <c r="P281" s="0" t="n">
        <v>6</v>
      </c>
      <c r="Q281" s="5" t="n">
        <v>40</v>
      </c>
      <c r="R281" s="4" t="n">
        <v>45761</v>
      </c>
      <c r="S281" s="0" t="s">
        <v>1094</v>
      </c>
      <c r="T281" s="0" t="n">
        <f aca="false">R281-J281</f>
        <v>1</v>
      </c>
      <c r="U281" s="5" t="n">
        <f aca="false">M281*N281</f>
        <v>3596</v>
      </c>
      <c r="V281" s="6" t="n">
        <f aca="false">IF(O281="FLAT5",5%,IF(O281="FLAT10",10%,IF(O281="FLAT15",15%,IF(O281="FLAT20",20%,0))))</f>
        <v>0.1</v>
      </c>
      <c r="W281" s="5" t="n">
        <f aca="false">U281*(1-V281)</f>
        <v>3236.4</v>
      </c>
      <c r="X281" s="5" t="n">
        <f aca="false">W281+IF(O281="DEL0",0,Q281)</f>
        <v>3276.4</v>
      </c>
      <c r="Y281" s="0" t="str">
        <f aca="false">B281&amp;" "&amp;C281</f>
        <v>Kavya Patel</v>
      </c>
      <c r="Z281" s="0" t="str">
        <f aca="false">IF(T281&lt;P281,"BeforeTime",IF(T281=P281,"Intime","Late"))</f>
        <v>BeforeTime</v>
      </c>
      <c r="AA281" s="0" t="str">
        <f aca="false">TEXT(J281,"mmm")</f>
        <v>Apr</v>
      </c>
      <c r="AB281" s="0" t="e">
        <f aca="false">xlookup(L281,Products!A:A,Products!B:B,"")</f>
        <v>#NAME?</v>
      </c>
    </row>
    <row r="282" customFormat="false" ht="15" hidden="false" customHeight="false" outlineLevel="0" collapsed="false">
      <c r="A282" s="0" t="s">
        <v>1456</v>
      </c>
      <c r="B282" s="0" t="s">
        <v>75</v>
      </c>
      <c r="C282" s="0" t="s">
        <v>123</v>
      </c>
      <c r="D282" s="0" t="n">
        <v>58</v>
      </c>
      <c r="E282" s="0" t="s">
        <v>36</v>
      </c>
      <c r="F282" s="0" t="s">
        <v>248</v>
      </c>
      <c r="G282" s="0" t="s">
        <v>1457</v>
      </c>
      <c r="H282" s="0" t="s">
        <v>935</v>
      </c>
      <c r="I282" s="0" t="s">
        <v>1458</v>
      </c>
      <c r="J282" s="4" t="n">
        <v>45866</v>
      </c>
      <c r="K282" s="0" t="s">
        <v>1317</v>
      </c>
      <c r="L282" s="0" t="s">
        <v>136</v>
      </c>
      <c r="M282" s="5" t="n">
        <v>1799</v>
      </c>
      <c r="N282" s="0" t="n">
        <v>1</v>
      </c>
      <c r="O282" s="0" t="s">
        <v>91</v>
      </c>
      <c r="P282" s="0" t="n">
        <v>6</v>
      </c>
      <c r="Q282" s="5" t="n">
        <v>90</v>
      </c>
      <c r="R282" s="4" t="n">
        <v>45867</v>
      </c>
      <c r="S282" s="0" t="s">
        <v>1459</v>
      </c>
      <c r="T282" s="0" t="n">
        <f aca="false">R282-J282</f>
        <v>1</v>
      </c>
      <c r="U282" s="5" t="n">
        <f aca="false">M282*N282</f>
        <v>1799</v>
      </c>
      <c r="V282" s="6" t="n">
        <f aca="false">IF(O282="FLAT5",5%,IF(O282="FLAT10",10%,IF(O282="FLAT15",15%,IF(O282="FLAT20",20%,0))))</f>
        <v>0.1</v>
      </c>
      <c r="W282" s="5" t="n">
        <f aca="false">U282*(1-V282)</f>
        <v>1619.1</v>
      </c>
      <c r="X282" s="5" t="n">
        <f aca="false">W282+IF(O282="DEL0",0,Q282)</f>
        <v>1709.1</v>
      </c>
      <c r="Y282" s="0" t="str">
        <f aca="false">B282&amp;" "&amp;C282</f>
        <v>Vikram Nair</v>
      </c>
      <c r="Z282" s="0" t="str">
        <f aca="false">IF(T282&lt;P282,"BeforeTime",IF(T282=P282,"Intime","Late"))</f>
        <v>BeforeTime</v>
      </c>
      <c r="AA282" s="0" t="str">
        <f aca="false">TEXT(J282,"mmm")</f>
        <v>Jul</v>
      </c>
      <c r="AB282" s="0" t="e">
        <f aca="false">xlookup(L282,Products!A:A,Products!B:B,"")</f>
        <v>#NAME?</v>
      </c>
    </row>
    <row r="283" customFormat="false" ht="15" hidden="false" customHeight="false" outlineLevel="0" collapsed="false">
      <c r="A283" s="0" t="s">
        <v>411</v>
      </c>
      <c r="B283" s="0" t="s">
        <v>46</v>
      </c>
      <c r="C283" s="0" t="s">
        <v>181</v>
      </c>
      <c r="D283" s="0" t="n">
        <v>48</v>
      </c>
      <c r="E283" s="0" t="s">
        <v>48</v>
      </c>
      <c r="F283" s="0" t="s">
        <v>124</v>
      </c>
      <c r="G283" s="0" t="s">
        <v>1460</v>
      </c>
      <c r="H283" s="0" t="s">
        <v>1461</v>
      </c>
      <c r="I283" s="0" t="s">
        <v>1462</v>
      </c>
      <c r="J283" s="4" t="n">
        <v>45892</v>
      </c>
      <c r="K283" s="0" t="s">
        <v>1463</v>
      </c>
      <c r="L283" s="0" t="s">
        <v>53</v>
      </c>
      <c r="M283" s="5" t="n">
        <v>2499</v>
      </c>
      <c r="N283" s="0" t="n">
        <v>2</v>
      </c>
      <c r="O283" s="0" t="s">
        <v>54</v>
      </c>
      <c r="P283" s="0" t="n">
        <v>7</v>
      </c>
      <c r="Q283" s="5" t="n">
        <v>0</v>
      </c>
      <c r="R283" s="4" t="n">
        <v>45899</v>
      </c>
      <c r="S283" s="0" t="s">
        <v>1464</v>
      </c>
      <c r="T283" s="0" t="n">
        <f aca="false">R283-J283</f>
        <v>7</v>
      </c>
      <c r="U283" s="5" t="n">
        <f aca="false">M283*N283</f>
        <v>4998</v>
      </c>
      <c r="V283" s="6" t="n">
        <f aca="false">IF(O283="FLAT5",5%,IF(O283="FLAT10",10%,IF(O283="FLAT15",15%,IF(O283="FLAT20",20%,0))))</f>
        <v>0</v>
      </c>
      <c r="W283" s="5" t="n">
        <f aca="false">U283*(1-V283)</f>
        <v>4998</v>
      </c>
      <c r="X283" s="5" t="n">
        <f aca="false">W283+IF(O283="DEL0",0,Q283)</f>
        <v>4998</v>
      </c>
      <c r="Y283" s="0" t="str">
        <f aca="false">B283&amp;" "&amp;C283</f>
        <v>Sanjana Gupta</v>
      </c>
      <c r="Z283" s="0" t="str">
        <f aca="false">IF(T283&lt;P283,"BeforeTime",IF(T283=P283,"Intime","Late"))</f>
        <v>Intime</v>
      </c>
      <c r="AA283" s="0" t="str">
        <f aca="false">TEXT(J283,"mmm")</f>
        <v>Aug</v>
      </c>
      <c r="AB283" s="0" t="e">
        <f aca="false">xlookup(L283,Products!A:A,Products!B:B,"")</f>
        <v>#NAME?</v>
      </c>
    </row>
    <row r="284" customFormat="false" ht="15" hidden="false" customHeight="false" outlineLevel="0" collapsed="false">
      <c r="A284" s="0" t="s">
        <v>1272</v>
      </c>
      <c r="B284" s="0" t="s">
        <v>405</v>
      </c>
      <c r="C284" s="0" t="s">
        <v>123</v>
      </c>
      <c r="D284" s="0" t="n">
        <v>40</v>
      </c>
      <c r="E284" s="0" t="s">
        <v>48</v>
      </c>
      <c r="F284" s="0" t="s">
        <v>59</v>
      </c>
      <c r="G284" s="0" t="s">
        <v>1465</v>
      </c>
      <c r="H284" s="0" t="s">
        <v>1366</v>
      </c>
      <c r="I284" s="0" t="s">
        <v>1466</v>
      </c>
      <c r="J284" s="4" t="n">
        <v>45792</v>
      </c>
      <c r="K284" s="0" t="s">
        <v>1467</v>
      </c>
      <c r="L284" s="0" t="s">
        <v>240</v>
      </c>
      <c r="M284" s="5" t="n">
        <v>4999</v>
      </c>
      <c r="N284" s="0" t="n">
        <v>1</v>
      </c>
      <c r="O284" s="0" t="s">
        <v>54</v>
      </c>
      <c r="P284" s="0" t="n">
        <v>3</v>
      </c>
      <c r="Q284" s="5" t="n">
        <v>0</v>
      </c>
      <c r="R284" s="4" t="n">
        <v>45795</v>
      </c>
      <c r="S284" s="0" t="s">
        <v>304</v>
      </c>
      <c r="T284" s="0" t="n">
        <f aca="false">R284-J284</f>
        <v>3</v>
      </c>
      <c r="U284" s="5" t="n">
        <f aca="false">M284*N284</f>
        <v>4999</v>
      </c>
      <c r="V284" s="6" t="n">
        <f aca="false">IF(O284="FLAT5",5%,IF(O284="FLAT10",10%,IF(O284="FLAT15",15%,IF(O284="FLAT20",20%,0))))</f>
        <v>0</v>
      </c>
      <c r="W284" s="5" t="n">
        <f aca="false">U284*(1-V284)</f>
        <v>4999</v>
      </c>
      <c r="X284" s="5" t="n">
        <f aca="false">W284+IF(O284="DEL0",0,Q284)</f>
        <v>4999</v>
      </c>
      <c r="Y284" s="0" t="str">
        <f aca="false">B284&amp;" "&amp;C284</f>
        <v>Sneha Nair</v>
      </c>
      <c r="Z284" s="0" t="str">
        <f aca="false">IF(T284&lt;P284,"BeforeTime",IF(T284=P284,"Intime","Late"))</f>
        <v>Intime</v>
      </c>
      <c r="AA284" s="0" t="str">
        <f aca="false">TEXT(J284,"mmm")</f>
        <v>May</v>
      </c>
      <c r="AB284" s="0" t="e">
        <f aca="false">xlookup(L284,Products!A:A,Products!B:B,"")</f>
        <v>#NAME?</v>
      </c>
    </row>
    <row r="285" customFormat="false" ht="15" hidden="false" customHeight="false" outlineLevel="0" collapsed="false">
      <c r="A285" s="0" t="s">
        <v>823</v>
      </c>
      <c r="B285" s="0" t="s">
        <v>86</v>
      </c>
      <c r="C285" s="0" t="s">
        <v>417</v>
      </c>
      <c r="D285" s="0" t="n">
        <v>33</v>
      </c>
      <c r="E285" s="0" t="s">
        <v>48</v>
      </c>
      <c r="F285" s="0" t="s">
        <v>262</v>
      </c>
      <c r="G285" s="0" t="s">
        <v>1468</v>
      </c>
      <c r="H285" s="0" t="s">
        <v>1469</v>
      </c>
      <c r="I285" s="0" t="s">
        <v>1470</v>
      </c>
      <c r="J285" s="4" t="n">
        <v>45760</v>
      </c>
      <c r="K285" s="0" t="s">
        <v>1293</v>
      </c>
      <c r="L285" s="0" t="s">
        <v>82</v>
      </c>
      <c r="M285" s="5" t="n">
        <v>1199</v>
      </c>
      <c r="N285" s="0" t="n">
        <v>2</v>
      </c>
      <c r="O285" s="0" t="s">
        <v>101</v>
      </c>
      <c r="P285" s="0" t="n">
        <v>3</v>
      </c>
      <c r="Q285" s="5" t="n">
        <v>60</v>
      </c>
      <c r="R285" s="4" t="n">
        <v>45763</v>
      </c>
      <c r="S285" s="0" t="s">
        <v>838</v>
      </c>
      <c r="T285" s="0" t="n">
        <f aca="false">R285-J285</f>
        <v>3</v>
      </c>
      <c r="U285" s="5" t="n">
        <f aca="false">M285*N285</f>
        <v>2398</v>
      </c>
      <c r="V285" s="6" t="n">
        <f aca="false">IF(O285="FLAT5",5%,IF(O285="FLAT10",10%,IF(O285="FLAT15",15%,IF(O285="FLAT20",20%,0))))</f>
        <v>0.15</v>
      </c>
      <c r="W285" s="5" t="n">
        <f aca="false">U285*(1-V285)</f>
        <v>2038.3</v>
      </c>
      <c r="X285" s="5" t="n">
        <f aca="false">W285+IF(O285="DEL0",0,Q285)</f>
        <v>2098.3</v>
      </c>
      <c r="Y285" s="0" t="str">
        <f aca="false">B285&amp;" "&amp;C285</f>
        <v>Rahul Mehta</v>
      </c>
      <c r="Z285" s="0" t="str">
        <f aca="false">IF(T285&lt;P285,"BeforeTime",IF(T285=P285,"Intime","Late"))</f>
        <v>Intime</v>
      </c>
      <c r="AA285" s="0" t="str">
        <f aca="false">TEXT(J285,"mmm")</f>
        <v>Apr</v>
      </c>
      <c r="AB285" s="0" t="e">
        <f aca="false">xlookup(L285,Products!A:A,Products!B:B,"")</f>
        <v>#NAME?</v>
      </c>
    </row>
    <row r="286" customFormat="false" ht="15" hidden="false" customHeight="false" outlineLevel="0" collapsed="false">
      <c r="A286" s="0" t="s">
        <v>173</v>
      </c>
      <c r="B286" s="0" t="s">
        <v>209</v>
      </c>
      <c r="C286" s="0" t="s">
        <v>261</v>
      </c>
      <c r="D286" s="0" t="n">
        <v>27</v>
      </c>
      <c r="E286" s="0" t="s">
        <v>36</v>
      </c>
      <c r="F286" s="0" t="s">
        <v>248</v>
      </c>
      <c r="G286" s="0" t="s">
        <v>1471</v>
      </c>
      <c r="H286" s="0" t="s">
        <v>419</v>
      </c>
      <c r="I286" s="0" t="s">
        <v>1472</v>
      </c>
      <c r="J286" s="4" t="n">
        <v>45935</v>
      </c>
      <c r="K286" s="0" t="s">
        <v>130</v>
      </c>
      <c r="L286" s="0" t="s">
        <v>64</v>
      </c>
      <c r="M286" s="5" t="n">
        <v>2799</v>
      </c>
      <c r="N286" s="0" t="n">
        <v>1</v>
      </c>
      <c r="O286" s="0" t="s">
        <v>54</v>
      </c>
      <c r="P286" s="0" t="n">
        <v>2</v>
      </c>
      <c r="Q286" s="5" t="n">
        <v>0</v>
      </c>
      <c r="R286" s="4" t="n">
        <v>45940</v>
      </c>
      <c r="S286" s="0" t="s">
        <v>1195</v>
      </c>
      <c r="T286" s="0" t="n">
        <f aca="false">R286-J286</f>
        <v>5</v>
      </c>
      <c r="U286" s="5" t="n">
        <f aca="false">M286*N286</f>
        <v>2799</v>
      </c>
      <c r="V286" s="6" t="n">
        <f aca="false">IF(O286="FLAT5",5%,IF(O286="FLAT10",10%,IF(O286="FLAT15",15%,IF(O286="FLAT20",20%,0))))</f>
        <v>0</v>
      </c>
      <c r="W286" s="5" t="n">
        <f aca="false">U286*(1-V286)</f>
        <v>2799</v>
      </c>
      <c r="X286" s="5" t="n">
        <f aca="false">W286+IF(O286="DEL0",0,Q286)</f>
        <v>2799</v>
      </c>
      <c r="Y286" s="0" t="str">
        <f aca="false">B286&amp;" "&amp;C286</f>
        <v>Ishaan Kumar</v>
      </c>
      <c r="Z286" s="0" t="str">
        <f aca="false">IF(T286&lt;P286,"BeforeTime",IF(T286=P286,"Intime","Late"))</f>
        <v>Late</v>
      </c>
      <c r="AA286" s="0" t="str">
        <f aca="false">TEXT(J286,"mmm")</f>
        <v>Oct</v>
      </c>
      <c r="AB286" s="0" t="e">
        <f aca="false">xlookup(L286,Products!A:A,Products!B:B,"")</f>
        <v>#NAME?</v>
      </c>
    </row>
    <row r="287" customFormat="false" ht="15" hidden="false" customHeight="false" outlineLevel="0" collapsed="false">
      <c r="A287" s="0" t="s">
        <v>310</v>
      </c>
      <c r="B287" s="0" t="s">
        <v>582</v>
      </c>
      <c r="C287" s="0" t="s">
        <v>181</v>
      </c>
      <c r="D287" s="0" t="n">
        <v>45</v>
      </c>
      <c r="E287" s="0" t="s">
        <v>36</v>
      </c>
      <c r="F287" s="0" t="s">
        <v>124</v>
      </c>
      <c r="G287" s="0" t="s">
        <v>1473</v>
      </c>
      <c r="H287" s="0" t="s">
        <v>1474</v>
      </c>
      <c r="I287" s="0" t="s">
        <v>1475</v>
      </c>
      <c r="J287" s="4" t="n">
        <v>45874</v>
      </c>
      <c r="K287" s="0" t="s">
        <v>1175</v>
      </c>
      <c r="L287" s="0" t="s">
        <v>42</v>
      </c>
      <c r="M287" s="5" t="n">
        <v>2199</v>
      </c>
      <c r="N287" s="0" t="n">
        <v>1</v>
      </c>
      <c r="O287" s="0" t="s">
        <v>101</v>
      </c>
      <c r="P287" s="0" t="n">
        <v>5</v>
      </c>
      <c r="Q287" s="5" t="n">
        <v>90</v>
      </c>
      <c r="R287" s="4" t="n">
        <v>45880</v>
      </c>
      <c r="S287" s="0" t="s">
        <v>1245</v>
      </c>
      <c r="T287" s="0" t="n">
        <f aca="false">R287-J287</f>
        <v>6</v>
      </c>
      <c r="U287" s="5" t="n">
        <f aca="false">M287*N287</f>
        <v>2199</v>
      </c>
      <c r="V287" s="6" t="n">
        <f aca="false">IF(O287="FLAT5",5%,IF(O287="FLAT10",10%,IF(O287="FLAT15",15%,IF(O287="FLAT20",20%,0))))</f>
        <v>0.15</v>
      </c>
      <c r="W287" s="5" t="n">
        <f aca="false">U287*(1-V287)</f>
        <v>1869.15</v>
      </c>
      <c r="X287" s="5" t="n">
        <f aca="false">W287+IF(O287="DEL0",0,Q287)</f>
        <v>1959.15</v>
      </c>
      <c r="Y287" s="0" t="str">
        <f aca="false">B287&amp;" "&amp;C287</f>
        <v>Kavya Gupta</v>
      </c>
      <c r="Z287" s="0" t="str">
        <f aca="false">IF(T287&lt;P287,"BeforeTime",IF(T287=P287,"Intime","Late"))</f>
        <v>Late</v>
      </c>
      <c r="AA287" s="0" t="str">
        <f aca="false">TEXT(J287,"mmm")</f>
        <v>Aug</v>
      </c>
      <c r="AB287" s="0" t="e">
        <f aca="false">xlookup(L287,Products!A:A,Products!B:B,"")</f>
        <v>#NAME?</v>
      </c>
    </row>
    <row r="288" customFormat="false" ht="15" hidden="false" customHeight="false" outlineLevel="0" collapsed="false">
      <c r="A288" s="0" t="s">
        <v>611</v>
      </c>
      <c r="B288" s="0" t="s">
        <v>394</v>
      </c>
      <c r="C288" s="0" t="s">
        <v>229</v>
      </c>
      <c r="D288" s="0" t="n">
        <v>20</v>
      </c>
      <c r="E288" s="0" t="s">
        <v>36</v>
      </c>
      <c r="F288" s="0" t="s">
        <v>37</v>
      </c>
      <c r="G288" s="0" t="s">
        <v>1476</v>
      </c>
      <c r="H288" s="0" t="s">
        <v>1477</v>
      </c>
      <c r="I288" s="0" t="s">
        <v>1478</v>
      </c>
      <c r="J288" s="4" t="n">
        <v>45971</v>
      </c>
      <c r="K288" s="0" t="s">
        <v>1479</v>
      </c>
      <c r="L288" s="0" t="s">
        <v>136</v>
      </c>
      <c r="M288" s="5" t="n">
        <v>1799</v>
      </c>
      <c r="N288" s="0" t="n">
        <v>1</v>
      </c>
      <c r="O288" s="0" t="s">
        <v>91</v>
      </c>
      <c r="P288" s="0" t="n">
        <v>4</v>
      </c>
      <c r="Q288" s="5" t="n">
        <v>60</v>
      </c>
      <c r="R288" s="4" t="n">
        <v>45975</v>
      </c>
      <c r="S288" s="0" t="s">
        <v>1480</v>
      </c>
      <c r="T288" s="0" t="n">
        <f aca="false">R288-J288</f>
        <v>4</v>
      </c>
      <c r="U288" s="5" t="n">
        <f aca="false">M288*N288</f>
        <v>1799</v>
      </c>
      <c r="V288" s="6" t="n">
        <f aca="false">IF(O288="FLAT5",5%,IF(O288="FLAT10",10%,IF(O288="FLAT15",15%,IF(O288="FLAT20",20%,0))))</f>
        <v>0.1</v>
      </c>
      <c r="W288" s="5" t="n">
        <f aca="false">U288*(1-V288)</f>
        <v>1619.1</v>
      </c>
      <c r="X288" s="5" t="n">
        <f aca="false">W288+IF(O288="DEL0",0,Q288)</f>
        <v>1679.1</v>
      </c>
      <c r="Y288" s="0" t="str">
        <f aca="false">B288&amp;" "&amp;C288</f>
        <v>Kiran Joshi</v>
      </c>
      <c r="Z288" s="0" t="str">
        <f aca="false">IF(T288&lt;P288,"BeforeTime",IF(T288=P288,"Intime","Late"))</f>
        <v>Intime</v>
      </c>
      <c r="AA288" s="0" t="str">
        <f aca="false">TEXT(J288,"mmm")</f>
        <v>Nov</v>
      </c>
      <c r="AB288" s="0" t="e">
        <f aca="false">xlookup(L288,Products!A:A,Products!B:B,"")</f>
        <v>#NAME?</v>
      </c>
    </row>
    <row r="289" customFormat="false" ht="15" hidden="false" customHeight="false" outlineLevel="0" collapsed="false">
      <c r="A289" s="0" t="s">
        <v>1008</v>
      </c>
      <c r="B289" s="0" t="s">
        <v>147</v>
      </c>
      <c r="C289" s="0" t="s">
        <v>95</v>
      </c>
      <c r="D289" s="0" t="n">
        <v>33</v>
      </c>
      <c r="E289" s="0" t="s">
        <v>48</v>
      </c>
      <c r="F289" s="0" t="s">
        <v>59</v>
      </c>
      <c r="G289" s="0" t="s">
        <v>1481</v>
      </c>
      <c r="H289" s="0" t="s">
        <v>1482</v>
      </c>
      <c r="I289" s="0" t="s">
        <v>1483</v>
      </c>
      <c r="J289" s="4" t="n">
        <v>45750</v>
      </c>
      <c r="K289" s="0" t="s">
        <v>602</v>
      </c>
      <c r="L289" s="0" t="s">
        <v>391</v>
      </c>
      <c r="M289" s="5" t="n">
        <v>3499</v>
      </c>
      <c r="N289" s="0" t="n">
        <v>4</v>
      </c>
      <c r="O289" s="0" t="s">
        <v>91</v>
      </c>
      <c r="P289" s="0" t="n">
        <v>6</v>
      </c>
      <c r="Q289" s="5" t="n">
        <v>120</v>
      </c>
      <c r="R289" s="4" t="n">
        <v>45755</v>
      </c>
      <c r="S289" s="0" t="s">
        <v>1438</v>
      </c>
      <c r="T289" s="0" t="n">
        <f aca="false">R289-J289</f>
        <v>5</v>
      </c>
      <c r="U289" s="5" t="n">
        <f aca="false">M289*N289</f>
        <v>13996</v>
      </c>
      <c r="V289" s="6" t="n">
        <f aca="false">IF(O289="FLAT5",5%,IF(O289="FLAT10",10%,IF(O289="FLAT15",15%,IF(O289="FLAT20",20%,0))))</f>
        <v>0.1</v>
      </c>
      <c r="W289" s="5" t="n">
        <f aca="false">U289*(1-V289)</f>
        <v>12596.4</v>
      </c>
      <c r="X289" s="5" t="n">
        <f aca="false">W289+IF(O289="DEL0",0,Q289)</f>
        <v>12716.4</v>
      </c>
      <c r="Y289" s="0" t="str">
        <f aca="false">B289&amp;" "&amp;C289</f>
        <v>Pooja Mishra</v>
      </c>
      <c r="Z289" s="0" t="str">
        <f aca="false">IF(T289&lt;P289,"BeforeTime",IF(T289=P289,"Intime","Late"))</f>
        <v>BeforeTime</v>
      </c>
      <c r="AA289" s="0" t="str">
        <f aca="false">TEXT(J289,"mmm")</f>
        <v>Apr</v>
      </c>
      <c r="AB289" s="0" t="e">
        <f aca="false">xlookup(L289,Products!A:A,Products!B:B,"")</f>
        <v>#NAME?</v>
      </c>
    </row>
    <row r="290" customFormat="false" ht="15" hidden="false" customHeight="false" outlineLevel="0" collapsed="false">
      <c r="A290" s="0" t="s">
        <v>512</v>
      </c>
      <c r="B290" s="0" t="s">
        <v>294</v>
      </c>
      <c r="C290" s="0" t="s">
        <v>47</v>
      </c>
      <c r="D290" s="0" t="n">
        <v>29</v>
      </c>
      <c r="E290" s="0" t="s">
        <v>36</v>
      </c>
      <c r="F290" s="0" t="s">
        <v>248</v>
      </c>
      <c r="G290" s="0" t="s">
        <v>1484</v>
      </c>
      <c r="H290" s="0" t="s">
        <v>1156</v>
      </c>
      <c r="I290" s="0" t="s">
        <v>1485</v>
      </c>
      <c r="J290" s="4" t="n">
        <v>45726</v>
      </c>
      <c r="K290" s="0" t="s">
        <v>591</v>
      </c>
      <c r="L290" s="0" t="s">
        <v>110</v>
      </c>
      <c r="M290" s="5" t="n">
        <v>1499</v>
      </c>
      <c r="N290" s="0" t="n">
        <v>2</v>
      </c>
      <c r="O290" s="0" t="s">
        <v>101</v>
      </c>
      <c r="P290" s="0" t="n">
        <v>7</v>
      </c>
      <c r="Q290" s="5" t="n">
        <v>120</v>
      </c>
      <c r="R290" s="4" t="n">
        <v>45733</v>
      </c>
      <c r="S290" s="0" t="s">
        <v>360</v>
      </c>
      <c r="T290" s="0" t="n">
        <f aca="false">R290-J290</f>
        <v>7</v>
      </c>
      <c r="U290" s="5" t="n">
        <f aca="false">M290*N290</f>
        <v>2998</v>
      </c>
      <c r="V290" s="6" t="n">
        <f aca="false">IF(O290="FLAT5",5%,IF(O290="FLAT10",10%,IF(O290="FLAT15",15%,IF(O290="FLAT20",20%,0))))</f>
        <v>0.15</v>
      </c>
      <c r="W290" s="5" t="n">
        <f aca="false">U290*(1-V290)</f>
        <v>2548.3</v>
      </c>
      <c r="X290" s="5" t="n">
        <f aca="false">W290+IF(O290="DEL0",0,Q290)</f>
        <v>2668.3</v>
      </c>
      <c r="Y290" s="0" t="str">
        <f aca="false">B290&amp;" "&amp;C290</f>
        <v>Aditya Verma</v>
      </c>
      <c r="Z290" s="0" t="str">
        <f aca="false">IF(T290&lt;P290,"BeforeTime",IF(T290=P290,"Intime","Late"))</f>
        <v>Intime</v>
      </c>
      <c r="AA290" s="0" t="str">
        <f aca="false">TEXT(J290,"mmm")</f>
        <v>Mar</v>
      </c>
      <c r="AB290" s="0" t="e">
        <f aca="false">xlookup(L290,Products!A:A,Products!B:B,"")</f>
        <v>#NAME?</v>
      </c>
    </row>
    <row r="291" customFormat="false" ht="15" hidden="false" customHeight="false" outlineLevel="0" collapsed="false">
      <c r="A291" s="0" t="s">
        <v>1486</v>
      </c>
      <c r="B291" s="0" t="s">
        <v>294</v>
      </c>
      <c r="C291" s="0" t="s">
        <v>261</v>
      </c>
      <c r="D291" s="0" t="n">
        <v>30</v>
      </c>
      <c r="E291" s="0" t="s">
        <v>36</v>
      </c>
      <c r="F291" s="0" t="s">
        <v>37</v>
      </c>
      <c r="G291" s="0" t="s">
        <v>1487</v>
      </c>
      <c r="H291" s="0" t="s">
        <v>945</v>
      </c>
      <c r="I291" s="0" t="s">
        <v>1488</v>
      </c>
      <c r="J291" s="4" t="n">
        <v>45707</v>
      </c>
      <c r="K291" s="0" t="s">
        <v>1489</v>
      </c>
      <c r="L291" s="0" t="s">
        <v>72</v>
      </c>
      <c r="M291" s="5" t="n">
        <v>1299</v>
      </c>
      <c r="N291" s="0" t="n">
        <v>4</v>
      </c>
      <c r="O291" s="0" t="s">
        <v>54</v>
      </c>
      <c r="P291" s="0" t="n">
        <v>5</v>
      </c>
      <c r="Q291" s="5" t="n">
        <v>0</v>
      </c>
      <c r="R291" s="4" t="n">
        <v>45712</v>
      </c>
      <c r="S291" s="0" t="s">
        <v>71</v>
      </c>
      <c r="T291" s="0" t="n">
        <f aca="false">R291-J291</f>
        <v>5</v>
      </c>
      <c r="U291" s="5" t="n">
        <f aca="false">M291*N291</f>
        <v>5196</v>
      </c>
      <c r="V291" s="6" t="n">
        <f aca="false">IF(O291="FLAT5",5%,IF(O291="FLAT10",10%,IF(O291="FLAT15",15%,IF(O291="FLAT20",20%,0))))</f>
        <v>0</v>
      </c>
      <c r="W291" s="5" t="n">
        <f aca="false">U291*(1-V291)</f>
        <v>5196</v>
      </c>
      <c r="X291" s="5" t="n">
        <f aca="false">W291+IF(O291="DEL0",0,Q291)</f>
        <v>5196</v>
      </c>
      <c r="Y291" s="0" t="str">
        <f aca="false">B291&amp;" "&amp;C291</f>
        <v>Aditya Kumar</v>
      </c>
      <c r="Z291" s="0" t="str">
        <f aca="false">IF(T291&lt;P291,"BeforeTime",IF(T291=P291,"Intime","Late"))</f>
        <v>Intime</v>
      </c>
      <c r="AA291" s="0" t="str">
        <f aca="false">TEXT(J291,"mmm")</f>
        <v>Feb</v>
      </c>
      <c r="AB291" s="0" t="e">
        <f aca="false">xlookup(L291,Products!A:A,Products!B:B,"")</f>
        <v>#NAME?</v>
      </c>
    </row>
    <row r="292" customFormat="false" ht="15" hidden="false" customHeight="false" outlineLevel="0" collapsed="false">
      <c r="A292" s="0" t="s">
        <v>268</v>
      </c>
      <c r="B292" s="0" t="s">
        <v>139</v>
      </c>
      <c r="C292" s="0" t="s">
        <v>95</v>
      </c>
      <c r="D292" s="0" t="n">
        <v>27</v>
      </c>
      <c r="E292" s="0" t="s">
        <v>48</v>
      </c>
      <c r="F292" s="0" t="s">
        <v>124</v>
      </c>
      <c r="G292" s="0" t="s">
        <v>1490</v>
      </c>
      <c r="H292" s="0" t="s">
        <v>887</v>
      </c>
      <c r="I292" s="0" t="s">
        <v>1491</v>
      </c>
      <c r="J292" s="4" t="n">
        <v>45803</v>
      </c>
      <c r="K292" s="0" t="s">
        <v>233</v>
      </c>
      <c r="L292" s="0" t="s">
        <v>100</v>
      </c>
      <c r="M292" s="5" t="n">
        <v>999</v>
      </c>
      <c r="N292" s="0" t="n">
        <v>2</v>
      </c>
      <c r="O292" s="0" t="s">
        <v>259</v>
      </c>
      <c r="P292" s="0" t="n">
        <v>4</v>
      </c>
      <c r="Q292" s="5" t="n">
        <v>90</v>
      </c>
      <c r="R292" s="4" t="n">
        <v>45807</v>
      </c>
      <c r="S292" s="0" t="s">
        <v>1492</v>
      </c>
      <c r="T292" s="0" t="n">
        <f aca="false">R292-J292</f>
        <v>4</v>
      </c>
      <c r="U292" s="5" t="n">
        <f aca="false">M292*N292</f>
        <v>1998</v>
      </c>
      <c r="V292" s="6" t="n">
        <f aca="false">IF(O292="FLAT5",5%,IF(O292="FLAT10",10%,IF(O292="FLAT15",15%,IF(O292="FLAT20",20%,0))))</f>
        <v>0</v>
      </c>
      <c r="W292" s="5" t="n">
        <f aca="false">U292*(1-V292)</f>
        <v>1998</v>
      </c>
      <c r="X292" s="5" t="n">
        <f aca="false">W292+IF(O292="DEL0",0,Q292)</f>
        <v>2088</v>
      </c>
      <c r="Y292" s="0" t="str">
        <f aca="false">B292&amp;" "&amp;C292</f>
        <v>Aarav Mishra</v>
      </c>
      <c r="Z292" s="0" t="str">
        <f aca="false">IF(T292&lt;P292,"BeforeTime",IF(T292=P292,"Intime","Late"))</f>
        <v>Intime</v>
      </c>
      <c r="AA292" s="0" t="str">
        <f aca="false">TEXT(J292,"mmm")</f>
        <v>May</v>
      </c>
      <c r="AB292" s="0" t="e">
        <f aca="false">xlookup(L292,Products!A:A,Products!B:B,"")</f>
        <v>#NAME?</v>
      </c>
    </row>
    <row r="293" customFormat="false" ht="15" hidden="false" customHeight="false" outlineLevel="0" collapsed="false">
      <c r="A293" s="0" t="s">
        <v>1008</v>
      </c>
      <c r="B293" s="0" t="s">
        <v>394</v>
      </c>
      <c r="C293" s="0" t="s">
        <v>195</v>
      </c>
      <c r="D293" s="0" t="n">
        <v>30</v>
      </c>
      <c r="E293" s="0" t="s">
        <v>48</v>
      </c>
      <c r="F293" s="0" t="s">
        <v>160</v>
      </c>
      <c r="G293" s="0" t="s">
        <v>1493</v>
      </c>
      <c r="H293" s="0" t="s">
        <v>1494</v>
      </c>
      <c r="I293" s="0" t="s">
        <v>1495</v>
      </c>
      <c r="J293" s="4" t="n">
        <v>45694</v>
      </c>
      <c r="K293" s="0" t="s">
        <v>1492</v>
      </c>
      <c r="L293" s="0" t="s">
        <v>119</v>
      </c>
      <c r="M293" s="5" t="n">
        <v>899</v>
      </c>
      <c r="N293" s="0" t="n">
        <v>4</v>
      </c>
      <c r="O293" s="0" t="s">
        <v>54</v>
      </c>
      <c r="P293" s="0" t="n">
        <v>2</v>
      </c>
      <c r="Q293" s="5" t="n">
        <v>0</v>
      </c>
      <c r="R293" s="4" t="n">
        <v>45695</v>
      </c>
      <c r="S293" s="0" t="s">
        <v>1496</v>
      </c>
      <c r="T293" s="0" t="n">
        <f aca="false">R293-J293</f>
        <v>1</v>
      </c>
      <c r="U293" s="5" t="n">
        <f aca="false">M293*N293</f>
        <v>3596</v>
      </c>
      <c r="V293" s="6" t="n">
        <f aca="false">IF(O293="FLAT5",5%,IF(O293="FLAT10",10%,IF(O293="FLAT15",15%,IF(O293="FLAT20",20%,0))))</f>
        <v>0</v>
      </c>
      <c r="W293" s="5" t="n">
        <f aca="false">U293*(1-V293)</f>
        <v>3596</v>
      </c>
      <c r="X293" s="5" t="n">
        <f aca="false">W293+IF(O293="DEL0",0,Q293)</f>
        <v>3596</v>
      </c>
      <c r="Y293" s="0" t="str">
        <f aca="false">B293&amp;" "&amp;C293</f>
        <v>Kiran Singh</v>
      </c>
      <c r="Z293" s="0" t="str">
        <f aca="false">IF(T293&lt;P293,"BeforeTime",IF(T293=P293,"Intime","Late"))</f>
        <v>BeforeTime</v>
      </c>
      <c r="AA293" s="0" t="str">
        <f aca="false">TEXT(J293,"mmm")</f>
        <v>Feb</v>
      </c>
      <c r="AB293" s="0" t="e">
        <f aca="false">xlookup(L293,Products!A:A,Products!B:B,"")</f>
        <v>#NAME?</v>
      </c>
    </row>
    <row r="294" customFormat="false" ht="15" hidden="false" customHeight="false" outlineLevel="0" collapsed="false">
      <c r="A294" s="0" t="s">
        <v>813</v>
      </c>
      <c r="B294" s="0" t="s">
        <v>104</v>
      </c>
      <c r="C294" s="0" t="s">
        <v>58</v>
      </c>
      <c r="D294" s="0" t="n">
        <v>37</v>
      </c>
      <c r="E294" s="0" t="s">
        <v>48</v>
      </c>
      <c r="F294" s="0" t="s">
        <v>59</v>
      </c>
      <c r="G294" s="0" t="s">
        <v>1497</v>
      </c>
      <c r="H294" s="0" t="s">
        <v>1498</v>
      </c>
      <c r="I294" s="0" t="s">
        <v>1499</v>
      </c>
      <c r="J294" s="4" t="n">
        <v>45752</v>
      </c>
      <c r="K294" s="0" t="s">
        <v>791</v>
      </c>
      <c r="L294" s="0" t="s">
        <v>82</v>
      </c>
      <c r="M294" s="5" t="n">
        <v>1199</v>
      </c>
      <c r="N294" s="0" t="n">
        <v>4</v>
      </c>
      <c r="O294" s="0" t="s">
        <v>91</v>
      </c>
      <c r="P294" s="0" t="n">
        <v>2</v>
      </c>
      <c r="Q294" s="5" t="n">
        <v>50</v>
      </c>
      <c r="R294" s="4" t="n">
        <v>45753</v>
      </c>
      <c r="S294" s="0" t="s">
        <v>1500</v>
      </c>
      <c r="T294" s="0" t="n">
        <f aca="false">R294-J294</f>
        <v>1</v>
      </c>
      <c r="U294" s="5" t="n">
        <f aca="false">M294*N294</f>
        <v>4796</v>
      </c>
      <c r="V294" s="6" t="n">
        <f aca="false">IF(O294="FLAT5",5%,IF(O294="FLAT10",10%,IF(O294="FLAT15",15%,IF(O294="FLAT20",20%,0))))</f>
        <v>0.1</v>
      </c>
      <c r="W294" s="5" t="n">
        <f aca="false">U294*(1-V294)</f>
        <v>4316.4</v>
      </c>
      <c r="X294" s="5" t="n">
        <f aca="false">W294+IF(O294="DEL0",0,Q294)</f>
        <v>4366.4</v>
      </c>
      <c r="Y294" s="0" t="str">
        <f aca="false">B294&amp;" "&amp;C294</f>
        <v>Keerthi Iyer</v>
      </c>
      <c r="Z294" s="0" t="str">
        <f aca="false">IF(T294&lt;P294,"BeforeTime",IF(T294=P294,"Intime","Late"))</f>
        <v>BeforeTime</v>
      </c>
      <c r="AA294" s="0" t="str">
        <f aca="false">TEXT(J294,"mmm")</f>
        <v>Apr</v>
      </c>
      <c r="AB294" s="0" t="e">
        <f aca="false">xlookup(L294,Products!A:A,Products!B:B,"")</f>
        <v>#NAME?</v>
      </c>
    </row>
    <row r="295" customFormat="false" ht="15" hidden="false" customHeight="false" outlineLevel="0" collapsed="false">
      <c r="A295" s="0" t="s">
        <v>1008</v>
      </c>
      <c r="B295" s="0" t="s">
        <v>34</v>
      </c>
      <c r="C295" s="0" t="s">
        <v>76</v>
      </c>
      <c r="D295" s="0" t="n">
        <v>50</v>
      </c>
      <c r="E295" s="0" t="s">
        <v>36</v>
      </c>
      <c r="F295" s="0" t="s">
        <v>202</v>
      </c>
      <c r="G295" s="0" t="s">
        <v>1501</v>
      </c>
      <c r="H295" s="0" t="s">
        <v>1502</v>
      </c>
      <c r="I295" s="0" t="s">
        <v>1503</v>
      </c>
      <c r="J295" s="4" t="n">
        <v>45974</v>
      </c>
      <c r="K295" s="0" t="s">
        <v>1504</v>
      </c>
      <c r="L295" s="0" t="s">
        <v>136</v>
      </c>
      <c r="M295" s="5" t="n">
        <v>1799</v>
      </c>
      <c r="N295" s="0" t="n">
        <v>1</v>
      </c>
      <c r="O295" s="0" t="s">
        <v>83</v>
      </c>
      <c r="P295" s="0" t="n">
        <v>3</v>
      </c>
      <c r="Q295" s="5" t="n">
        <v>60</v>
      </c>
      <c r="R295" s="4" t="n">
        <v>45976</v>
      </c>
      <c r="S295" s="0" t="s">
        <v>1505</v>
      </c>
      <c r="T295" s="0" t="n">
        <f aca="false">R295-J295</f>
        <v>2</v>
      </c>
      <c r="U295" s="5" t="n">
        <f aca="false">M295*N295</f>
        <v>1799</v>
      </c>
      <c r="V295" s="6" t="n">
        <f aca="false">IF(O295="FLAT5",5%,IF(O295="FLAT10",10%,IF(O295="FLAT15",15%,IF(O295="FLAT20",20%,0))))</f>
        <v>0.05</v>
      </c>
      <c r="W295" s="5" t="n">
        <f aca="false">U295*(1-V295)</f>
        <v>1709.05</v>
      </c>
      <c r="X295" s="5" t="n">
        <f aca="false">W295+IF(O295="DEL0",0,Q295)</f>
        <v>1769.05</v>
      </c>
      <c r="Y295" s="0" t="str">
        <f aca="false">B295&amp;" "&amp;C295</f>
        <v>Diya Patel</v>
      </c>
      <c r="Z295" s="0" t="str">
        <f aca="false">IF(T295&lt;P295,"BeforeTime",IF(T295=P295,"Intime","Late"))</f>
        <v>BeforeTime</v>
      </c>
      <c r="AA295" s="0" t="str">
        <f aca="false">TEXT(J295,"mmm")</f>
        <v>Nov</v>
      </c>
      <c r="AB295" s="0" t="e">
        <f aca="false">xlookup(L295,Products!A:A,Products!B:B,"")</f>
        <v>#NAME?</v>
      </c>
    </row>
    <row r="296" customFormat="false" ht="15" hidden="false" customHeight="false" outlineLevel="0" collapsed="false">
      <c r="A296" s="0" t="s">
        <v>1506</v>
      </c>
      <c r="B296" s="0" t="s">
        <v>269</v>
      </c>
      <c r="C296" s="0" t="s">
        <v>113</v>
      </c>
      <c r="D296" s="0" t="n">
        <v>21</v>
      </c>
      <c r="E296" s="0" t="s">
        <v>36</v>
      </c>
      <c r="F296" s="0" t="s">
        <v>59</v>
      </c>
      <c r="G296" s="0" t="s">
        <v>1507</v>
      </c>
      <c r="H296" s="0" t="s">
        <v>1173</v>
      </c>
      <c r="I296" s="0" t="s">
        <v>1508</v>
      </c>
      <c r="J296" s="4" t="n">
        <v>45934</v>
      </c>
      <c r="K296" s="0" t="s">
        <v>1509</v>
      </c>
      <c r="L296" s="0" t="s">
        <v>391</v>
      </c>
      <c r="M296" s="5" t="n">
        <v>3499</v>
      </c>
      <c r="N296" s="0" t="n">
        <v>4</v>
      </c>
      <c r="O296" s="0" t="s">
        <v>101</v>
      </c>
      <c r="P296" s="0" t="n">
        <v>4</v>
      </c>
      <c r="Q296" s="5" t="n">
        <v>50</v>
      </c>
      <c r="R296" s="4" t="n">
        <v>45938</v>
      </c>
      <c r="S296" s="0" t="s">
        <v>1510</v>
      </c>
      <c r="T296" s="0" t="n">
        <f aca="false">R296-J296</f>
        <v>4</v>
      </c>
      <c r="U296" s="5" t="n">
        <f aca="false">M296*N296</f>
        <v>13996</v>
      </c>
      <c r="V296" s="6" t="n">
        <f aca="false">IF(O296="FLAT5",5%,IF(O296="FLAT10",10%,IF(O296="FLAT15",15%,IF(O296="FLAT20",20%,0))))</f>
        <v>0.15</v>
      </c>
      <c r="W296" s="5" t="n">
        <f aca="false">U296*(1-V296)</f>
        <v>11896.6</v>
      </c>
      <c r="X296" s="5" t="n">
        <f aca="false">W296+IF(O296="DEL0",0,Q296)</f>
        <v>11946.6</v>
      </c>
      <c r="Y296" s="0" t="str">
        <f aca="false">B296&amp;" "&amp;C296</f>
        <v>Varun Rao</v>
      </c>
      <c r="Z296" s="0" t="str">
        <f aca="false">IF(T296&lt;P296,"BeforeTime",IF(T296=P296,"Intime","Late"))</f>
        <v>Intime</v>
      </c>
      <c r="AA296" s="0" t="str">
        <f aca="false">TEXT(J296,"mmm")</f>
        <v>Oct</v>
      </c>
      <c r="AB296" s="0" t="e">
        <f aca="false">xlookup(L296,Products!A:A,Products!B:B,"")</f>
        <v>#NAME?</v>
      </c>
    </row>
    <row r="297" customFormat="false" ht="15" hidden="false" customHeight="false" outlineLevel="0" collapsed="false">
      <c r="A297" s="0" t="s">
        <v>1486</v>
      </c>
      <c r="B297" s="0" t="s">
        <v>94</v>
      </c>
      <c r="C297" s="0" t="s">
        <v>95</v>
      </c>
      <c r="D297" s="0" t="n">
        <v>53</v>
      </c>
      <c r="E297" s="0" t="s">
        <v>48</v>
      </c>
      <c r="F297" s="0" t="s">
        <v>59</v>
      </c>
      <c r="G297" s="0" t="s">
        <v>1511</v>
      </c>
      <c r="H297" s="0" t="s">
        <v>1031</v>
      </c>
      <c r="I297" s="0" t="s">
        <v>1512</v>
      </c>
      <c r="J297" s="4" t="n">
        <v>45884</v>
      </c>
      <c r="K297" s="0" t="s">
        <v>854</v>
      </c>
      <c r="L297" s="0" t="s">
        <v>53</v>
      </c>
      <c r="M297" s="5" t="n">
        <v>2499</v>
      </c>
      <c r="N297" s="0" t="n">
        <v>2</v>
      </c>
      <c r="O297" s="0" t="s">
        <v>54</v>
      </c>
      <c r="P297" s="0" t="n">
        <v>4</v>
      </c>
      <c r="Q297" s="5" t="n">
        <v>0</v>
      </c>
      <c r="R297" s="4" t="n">
        <v>45888</v>
      </c>
      <c r="S297" s="0" t="s">
        <v>1513</v>
      </c>
      <c r="T297" s="0" t="n">
        <f aca="false">R297-J297</f>
        <v>4</v>
      </c>
      <c r="U297" s="5" t="n">
        <f aca="false">M297*N297</f>
        <v>4998</v>
      </c>
      <c r="V297" s="6" t="n">
        <f aca="false">IF(O297="FLAT5",5%,IF(O297="FLAT10",10%,IF(O297="FLAT15",15%,IF(O297="FLAT20",20%,0))))</f>
        <v>0</v>
      </c>
      <c r="W297" s="5" t="n">
        <f aca="false">U297*(1-V297)</f>
        <v>4998</v>
      </c>
      <c r="X297" s="5" t="n">
        <f aca="false">W297+IF(O297="DEL0",0,Q297)</f>
        <v>4998</v>
      </c>
      <c r="Y297" s="0" t="str">
        <f aca="false">B297&amp;" "&amp;C297</f>
        <v>Manoj Mishra</v>
      </c>
      <c r="Z297" s="0" t="str">
        <f aca="false">IF(T297&lt;P297,"BeforeTime",IF(T297=P297,"Intime","Late"))</f>
        <v>Intime</v>
      </c>
      <c r="AA297" s="0" t="str">
        <f aca="false">TEXT(J297,"mmm")</f>
        <v>Aug</v>
      </c>
      <c r="AB297" s="0" t="e">
        <f aca="false">xlookup(L297,Products!A:A,Products!B:B,"")</f>
        <v>#NAME?</v>
      </c>
    </row>
    <row r="298" customFormat="false" ht="15" hidden="false" customHeight="false" outlineLevel="0" collapsed="false">
      <c r="A298" s="0" t="s">
        <v>337</v>
      </c>
      <c r="B298" s="0" t="s">
        <v>209</v>
      </c>
      <c r="C298" s="0" t="s">
        <v>417</v>
      </c>
      <c r="D298" s="0" t="n">
        <v>38</v>
      </c>
      <c r="E298" s="0" t="s">
        <v>48</v>
      </c>
      <c r="F298" s="0" t="s">
        <v>77</v>
      </c>
      <c r="G298" s="0" t="s">
        <v>1514</v>
      </c>
      <c r="H298" s="0" t="s">
        <v>1515</v>
      </c>
      <c r="I298" s="0" t="s">
        <v>1516</v>
      </c>
      <c r="J298" s="4" t="n">
        <v>45902</v>
      </c>
      <c r="K298" s="0" t="s">
        <v>1517</v>
      </c>
      <c r="L298" s="0" t="s">
        <v>110</v>
      </c>
      <c r="M298" s="5" t="n">
        <v>1499</v>
      </c>
      <c r="N298" s="0" t="n">
        <v>4</v>
      </c>
      <c r="O298" s="0" t="s">
        <v>259</v>
      </c>
      <c r="P298" s="0" t="n">
        <v>4</v>
      </c>
      <c r="Q298" s="5" t="n">
        <v>60</v>
      </c>
      <c r="R298" s="4" t="n">
        <v>45904</v>
      </c>
      <c r="S298" s="0" t="s">
        <v>1518</v>
      </c>
      <c r="T298" s="0" t="n">
        <f aca="false">R298-J298</f>
        <v>2</v>
      </c>
      <c r="U298" s="5" t="n">
        <f aca="false">M298*N298</f>
        <v>5996</v>
      </c>
      <c r="V298" s="6" t="n">
        <f aca="false">IF(O298="FLAT5",5%,IF(O298="FLAT10",10%,IF(O298="FLAT15",15%,IF(O298="FLAT20",20%,0))))</f>
        <v>0</v>
      </c>
      <c r="W298" s="5" t="n">
        <f aca="false">U298*(1-V298)</f>
        <v>5996</v>
      </c>
      <c r="X298" s="5" t="n">
        <f aca="false">W298+IF(O298="DEL0",0,Q298)</f>
        <v>6056</v>
      </c>
      <c r="Y298" s="0" t="str">
        <f aca="false">B298&amp;" "&amp;C298</f>
        <v>Ishaan Mehta</v>
      </c>
      <c r="Z298" s="0" t="str">
        <f aca="false">IF(T298&lt;P298,"BeforeTime",IF(T298=P298,"Intime","Late"))</f>
        <v>BeforeTime</v>
      </c>
      <c r="AA298" s="0" t="str">
        <f aca="false">TEXT(J298,"mmm")</f>
        <v>Sep</v>
      </c>
      <c r="AB298" s="0" t="e">
        <f aca="false">xlookup(L298,Products!A:A,Products!B:B,"")</f>
        <v>#NAME?</v>
      </c>
    </row>
    <row r="299" customFormat="false" ht="15" hidden="false" customHeight="false" outlineLevel="0" collapsed="false">
      <c r="A299" s="0" t="s">
        <v>632</v>
      </c>
      <c r="B299" s="0" t="s">
        <v>46</v>
      </c>
      <c r="C299" s="0" t="s">
        <v>95</v>
      </c>
      <c r="D299" s="0" t="n">
        <v>45</v>
      </c>
      <c r="E299" s="0" t="s">
        <v>36</v>
      </c>
      <c r="F299" s="0" t="s">
        <v>262</v>
      </c>
      <c r="G299" s="0" t="s">
        <v>1519</v>
      </c>
      <c r="H299" s="0" t="s">
        <v>1520</v>
      </c>
      <c r="I299" s="0" t="s">
        <v>1521</v>
      </c>
      <c r="J299" s="4" t="n">
        <v>45770</v>
      </c>
      <c r="K299" s="0" t="s">
        <v>480</v>
      </c>
      <c r="L299" s="0" t="s">
        <v>82</v>
      </c>
      <c r="M299" s="5" t="n">
        <v>1199</v>
      </c>
      <c r="N299" s="0" t="n">
        <v>4</v>
      </c>
      <c r="O299" s="0" t="s">
        <v>54</v>
      </c>
      <c r="P299" s="0" t="n">
        <v>4</v>
      </c>
      <c r="Q299" s="5" t="n">
        <v>0</v>
      </c>
      <c r="R299" s="4" t="n">
        <v>45773</v>
      </c>
      <c r="S299" s="0" t="s">
        <v>1522</v>
      </c>
      <c r="T299" s="0" t="n">
        <f aca="false">R299-J299</f>
        <v>3</v>
      </c>
      <c r="U299" s="5" t="n">
        <f aca="false">M299*N299</f>
        <v>4796</v>
      </c>
      <c r="V299" s="6" t="n">
        <f aca="false">IF(O299="FLAT5",5%,IF(O299="FLAT10",10%,IF(O299="FLAT15",15%,IF(O299="FLAT20",20%,0))))</f>
        <v>0</v>
      </c>
      <c r="W299" s="5" t="n">
        <f aca="false">U299*(1-V299)</f>
        <v>4796</v>
      </c>
      <c r="X299" s="5" t="n">
        <f aca="false">W299+IF(O299="DEL0",0,Q299)</f>
        <v>4796</v>
      </c>
      <c r="Y299" s="0" t="str">
        <f aca="false">B299&amp;" "&amp;C299</f>
        <v>Sanjana Mishra</v>
      </c>
      <c r="Z299" s="0" t="str">
        <f aca="false">IF(T299&lt;P299,"BeforeTime",IF(T299=P299,"Intime","Late"))</f>
        <v>BeforeTime</v>
      </c>
      <c r="AA299" s="0" t="str">
        <f aca="false">TEXT(J299,"mmm")</f>
        <v>Apr</v>
      </c>
      <c r="AB299" s="0" t="e">
        <f aca="false">xlookup(L299,Products!A:A,Products!B:B,"")</f>
        <v>#NAME?</v>
      </c>
    </row>
    <row r="300" customFormat="false" ht="15" hidden="false" customHeight="false" outlineLevel="0" collapsed="false">
      <c r="A300" s="0" t="s">
        <v>1303</v>
      </c>
      <c r="B300" s="0" t="s">
        <v>122</v>
      </c>
      <c r="C300" s="0" t="s">
        <v>181</v>
      </c>
      <c r="D300" s="0" t="n">
        <v>46</v>
      </c>
      <c r="E300" s="0" t="s">
        <v>36</v>
      </c>
      <c r="F300" s="0" t="s">
        <v>140</v>
      </c>
      <c r="G300" s="0" t="s">
        <v>1523</v>
      </c>
      <c r="H300" s="0" t="s">
        <v>1524</v>
      </c>
      <c r="I300" s="0" t="s">
        <v>1525</v>
      </c>
      <c r="J300" s="4" t="n">
        <v>45984</v>
      </c>
      <c r="K300" s="0" t="s">
        <v>1526</v>
      </c>
      <c r="L300" s="0" t="s">
        <v>42</v>
      </c>
      <c r="M300" s="5" t="n">
        <v>2199</v>
      </c>
      <c r="N300" s="0" t="n">
        <v>2</v>
      </c>
      <c r="O300" s="0" t="s">
        <v>91</v>
      </c>
      <c r="P300" s="0" t="n">
        <v>5</v>
      </c>
      <c r="Q300" s="5" t="n">
        <v>60</v>
      </c>
      <c r="R300" s="4" t="n">
        <v>45989</v>
      </c>
      <c r="S300" s="0" t="s">
        <v>1527</v>
      </c>
      <c r="T300" s="0" t="n">
        <f aca="false">R300-J300</f>
        <v>5</v>
      </c>
      <c r="U300" s="5" t="n">
        <f aca="false">M300*N300</f>
        <v>4398</v>
      </c>
      <c r="V300" s="6" t="n">
        <f aca="false">IF(O300="FLAT5",5%,IF(O300="FLAT10",10%,IF(O300="FLAT15",15%,IF(O300="FLAT20",20%,0))))</f>
        <v>0.1</v>
      </c>
      <c r="W300" s="5" t="n">
        <f aca="false">U300*(1-V300)</f>
        <v>3958.2</v>
      </c>
      <c r="X300" s="5" t="n">
        <f aca="false">W300+IF(O300="DEL0",0,Q300)</f>
        <v>4018.2</v>
      </c>
      <c r="Y300" s="0" t="str">
        <f aca="false">B300&amp;" "&amp;C300</f>
        <v>Meera Gupta</v>
      </c>
      <c r="Z300" s="0" t="str">
        <f aca="false">IF(T300&lt;P300,"BeforeTime",IF(T300=P300,"Intime","Late"))</f>
        <v>Intime</v>
      </c>
      <c r="AA300" s="0" t="str">
        <f aca="false">TEXT(J300,"mmm")</f>
        <v>Nov</v>
      </c>
      <c r="AB300" s="0" t="e">
        <f aca="false">xlookup(L300,Products!A:A,Products!B:B,"")</f>
        <v>#NAME?</v>
      </c>
    </row>
    <row r="301" customFormat="false" ht="15" hidden="false" customHeight="false" outlineLevel="0" collapsed="false">
      <c r="A301" s="0" t="s">
        <v>1022</v>
      </c>
      <c r="B301" s="0" t="s">
        <v>174</v>
      </c>
      <c r="C301" s="0" t="s">
        <v>35</v>
      </c>
      <c r="D301" s="0" t="n">
        <v>31</v>
      </c>
      <c r="E301" s="0" t="s">
        <v>36</v>
      </c>
      <c r="F301" s="0" t="s">
        <v>114</v>
      </c>
      <c r="G301" s="0" t="s">
        <v>1528</v>
      </c>
      <c r="H301" s="0" t="s">
        <v>1529</v>
      </c>
      <c r="I301" s="0" t="s">
        <v>1530</v>
      </c>
      <c r="J301" s="4" t="n">
        <v>45662</v>
      </c>
      <c r="K301" s="0" t="s">
        <v>817</v>
      </c>
      <c r="L301" s="0" t="s">
        <v>72</v>
      </c>
      <c r="M301" s="5" t="n">
        <v>1299</v>
      </c>
      <c r="N301" s="0" t="n">
        <v>2</v>
      </c>
      <c r="O301" s="0" t="s">
        <v>54</v>
      </c>
      <c r="P301" s="0" t="n">
        <v>3</v>
      </c>
      <c r="Q301" s="5" t="n">
        <v>0</v>
      </c>
      <c r="R301" s="4" t="n">
        <v>45663</v>
      </c>
      <c r="S301" s="0" t="s">
        <v>1517</v>
      </c>
      <c r="T301" s="0" t="n">
        <f aca="false">R301-J301</f>
        <v>1</v>
      </c>
      <c r="U301" s="5" t="n">
        <f aca="false">M301*N301</f>
        <v>2598</v>
      </c>
      <c r="V301" s="6" t="n">
        <f aca="false">IF(O301="FLAT5",5%,IF(O301="FLAT10",10%,IF(O301="FLAT15",15%,IF(O301="FLAT20",20%,0))))</f>
        <v>0</v>
      </c>
      <c r="W301" s="5" t="n">
        <f aca="false">U301*(1-V301)</f>
        <v>2598</v>
      </c>
      <c r="X301" s="5" t="n">
        <f aca="false">W301+IF(O301="DEL0",0,Q301)</f>
        <v>2598</v>
      </c>
      <c r="Y301" s="0" t="str">
        <f aca="false">B301&amp;" "&amp;C301</f>
        <v>Ananya Sharma</v>
      </c>
      <c r="Z301" s="0" t="str">
        <f aca="false">IF(T301&lt;P301,"BeforeTime",IF(T301=P301,"Intime","Late"))</f>
        <v>BeforeTime</v>
      </c>
      <c r="AA301" s="0" t="str">
        <f aca="false">TEXT(J301,"mmm")</f>
        <v>Jan</v>
      </c>
      <c r="AB301" s="0" t="e">
        <f aca="false">xlookup(L301,Products!A:A,Products!B:B,"")</f>
        <v>#NAME?</v>
      </c>
    </row>
    <row r="302" customFormat="false" ht="15" hidden="false" customHeight="false" outlineLevel="0" collapsed="false">
      <c r="A302" s="0" t="s">
        <v>593</v>
      </c>
      <c r="B302" s="0" t="s">
        <v>394</v>
      </c>
      <c r="C302" s="0" t="s">
        <v>210</v>
      </c>
      <c r="D302" s="0" t="n">
        <v>41</v>
      </c>
      <c r="E302" s="0" t="s">
        <v>36</v>
      </c>
      <c r="F302" s="0" t="s">
        <v>262</v>
      </c>
      <c r="G302" s="0" t="s">
        <v>1531</v>
      </c>
      <c r="H302" s="0" t="s">
        <v>446</v>
      </c>
      <c r="I302" s="0" t="s">
        <v>1532</v>
      </c>
      <c r="J302" s="4" t="n">
        <v>45694</v>
      </c>
      <c r="K302" s="0" t="s">
        <v>1533</v>
      </c>
      <c r="L302" s="0" t="s">
        <v>110</v>
      </c>
      <c r="M302" s="5" t="n">
        <v>1499</v>
      </c>
      <c r="N302" s="0" t="n">
        <v>3</v>
      </c>
      <c r="O302" s="0" t="s">
        <v>54</v>
      </c>
      <c r="P302" s="0" t="n">
        <v>6</v>
      </c>
      <c r="Q302" s="5" t="n">
        <v>0</v>
      </c>
      <c r="R302" s="4" t="n">
        <v>45700</v>
      </c>
      <c r="S302" s="0" t="s">
        <v>562</v>
      </c>
      <c r="T302" s="0" t="n">
        <f aca="false">R302-J302</f>
        <v>6</v>
      </c>
      <c r="U302" s="5" t="n">
        <f aca="false">M302*N302</f>
        <v>4497</v>
      </c>
      <c r="V302" s="6" t="n">
        <f aca="false">IF(O302="FLAT5",5%,IF(O302="FLAT10",10%,IF(O302="FLAT15",15%,IF(O302="FLAT20",20%,0))))</f>
        <v>0</v>
      </c>
      <c r="W302" s="5" t="n">
        <f aca="false">U302*(1-V302)</f>
        <v>4497</v>
      </c>
      <c r="X302" s="5" t="n">
        <f aca="false">W302+IF(O302="DEL0",0,Q302)</f>
        <v>4497</v>
      </c>
      <c r="Y302" s="0" t="str">
        <f aca="false">B302&amp;" "&amp;C302</f>
        <v>Kiran Reddy</v>
      </c>
      <c r="Z302" s="0" t="str">
        <f aca="false">IF(T302&lt;P302,"BeforeTime",IF(T302=P302,"Intime","Late"))</f>
        <v>Intime</v>
      </c>
      <c r="AA302" s="0" t="str">
        <f aca="false">TEXT(J302,"mmm")</f>
        <v>Feb</v>
      </c>
      <c r="AB302" s="0" t="e">
        <f aca="false">xlookup(L302,Products!A:A,Products!B:B,"")</f>
        <v>#NAME?</v>
      </c>
    </row>
    <row r="303" customFormat="false" ht="15" hidden="false" customHeight="false" outlineLevel="0" collapsed="false">
      <c r="A303" s="0" t="s">
        <v>1534</v>
      </c>
      <c r="B303" s="0" t="s">
        <v>405</v>
      </c>
      <c r="C303" s="0" t="s">
        <v>58</v>
      </c>
      <c r="D303" s="0" t="n">
        <v>48</v>
      </c>
      <c r="E303" s="0" t="s">
        <v>36</v>
      </c>
      <c r="F303" s="0" t="s">
        <v>202</v>
      </c>
      <c r="G303" s="0" t="s">
        <v>1535</v>
      </c>
      <c r="H303" s="0" t="s">
        <v>329</v>
      </c>
      <c r="I303" s="0" t="s">
        <v>1536</v>
      </c>
      <c r="J303" s="4" t="n">
        <v>45706</v>
      </c>
      <c r="K303" s="0" t="s">
        <v>354</v>
      </c>
      <c r="L303" s="0" t="s">
        <v>100</v>
      </c>
      <c r="M303" s="5" t="n">
        <v>999</v>
      </c>
      <c r="N303" s="0" t="n">
        <v>4</v>
      </c>
      <c r="O303" s="0" t="s">
        <v>54</v>
      </c>
      <c r="P303" s="0" t="n">
        <v>6</v>
      </c>
      <c r="Q303" s="5" t="n">
        <v>0</v>
      </c>
      <c r="R303" s="4" t="n">
        <v>45712</v>
      </c>
      <c r="S303" s="0" t="s">
        <v>1537</v>
      </c>
      <c r="T303" s="0" t="n">
        <f aca="false">R303-J303</f>
        <v>6</v>
      </c>
      <c r="U303" s="5" t="n">
        <f aca="false">M303*N303</f>
        <v>3996</v>
      </c>
      <c r="V303" s="6" t="n">
        <f aca="false">IF(O303="FLAT5",5%,IF(O303="FLAT10",10%,IF(O303="FLAT15",15%,IF(O303="FLAT20",20%,0))))</f>
        <v>0</v>
      </c>
      <c r="W303" s="5" t="n">
        <f aca="false">U303*(1-V303)</f>
        <v>3996</v>
      </c>
      <c r="X303" s="5" t="n">
        <f aca="false">W303+IF(O303="DEL0",0,Q303)</f>
        <v>3996</v>
      </c>
      <c r="Y303" s="0" t="str">
        <f aca="false">B303&amp;" "&amp;C303</f>
        <v>Sneha Iyer</v>
      </c>
      <c r="Z303" s="0" t="str">
        <f aca="false">IF(T303&lt;P303,"BeforeTime",IF(T303=P303,"Intime","Late"))</f>
        <v>Intime</v>
      </c>
      <c r="AA303" s="0" t="str">
        <f aca="false">TEXT(J303,"mmm")</f>
        <v>Feb</v>
      </c>
      <c r="AB303" s="0" t="e">
        <f aca="false">xlookup(L303,Products!A:A,Products!B:B,"")</f>
        <v>#NAME?</v>
      </c>
    </row>
    <row r="304" customFormat="false" ht="15" hidden="false" customHeight="false" outlineLevel="0" collapsed="false">
      <c r="A304" s="0" t="s">
        <v>228</v>
      </c>
      <c r="B304" s="0" t="s">
        <v>174</v>
      </c>
      <c r="C304" s="0" t="s">
        <v>261</v>
      </c>
      <c r="D304" s="0" t="n">
        <v>36</v>
      </c>
      <c r="E304" s="0" t="s">
        <v>48</v>
      </c>
      <c r="F304" s="0" t="s">
        <v>114</v>
      </c>
      <c r="G304" s="0" t="s">
        <v>1538</v>
      </c>
      <c r="H304" s="0" t="s">
        <v>1539</v>
      </c>
      <c r="I304" s="0" t="s">
        <v>1540</v>
      </c>
      <c r="J304" s="4" t="n">
        <v>45999</v>
      </c>
      <c r="K304" s="0" t="s">
        <v>1297</v>
      </c>
      <c r="L304" s="0" t="s">
        <v>100</v>
      </c>
      <c r="M304" s="5" t="n">
        <v>999</v>
      </c>
      <c r="N304" s="0" t="n">
        <v>3</v>
      </c>
      <c r="O304" s="0" t="s">
        <v>259</v>
      </c>
      <c r="P304" s="0" t="n">
        <v>3</v>
      </c>
      <c r="Q304" s="5" t="n">
        <v>120</v>
      </c>
      <c r="R304" s="4" t="n">
        <v>46004</v>
      </c>
      <c r="S304" s="0" t="s">
        <v>1541</v>
      </c>
      <c r="T304" s="0" t="n">
        <f aca="false">R304-J304</f>
        <v>5</v>
      </c>
      <c r="U304" s="5" t="n">
        <f aca="false">M304*N304</f>
        <v>2997</v>
      </c>
      <c r="V304" s="6" t="n">
        <f aca="false">IF(O304="FLAT5",5%,IF(O304="FLAT10",10%,IF(O304="FLAT15",15%,IF(O304="FLAT20",20%,0))))</f>
        <v>0</v>
      </c>
      <c r="W304" s="5" t="n">
        <f aca="false">U304*(1-V304)</f>
        <v>2997</v>
      </c>
      <c r="X304" s="5" t="n">
        <f aca="false">W304+IF(O304="DEL0",0,Q304)</f>
        <v>3117</v>
      </c>
      <c r="Y304" s="0" t="str">
        <f aca="false">B304&amp;" "&amp;C304</f>
        <v>Ananya Kumar</v>
      </c>
      <c r="Z304" s="0" t="str">
        <f aca="false">IF(T304&lt;P304,"BeforeTime",IF(T304=P304,"Intime","Late"))</f>
        <v>Late</v>
      </c>
      <c r="AA304" s="0" t="str">
        <f aca="false">TEXT(J304,"mmm")</f>
        <v>Dec</v>
      </c>
      <c r="AB304" s="0" t="e">
        <f aca="false">xlookup(L304,Products!A:A,Products!B:B,"")</f>
        <v>#NAME?</v>
      </c>
    </row>
    <row r="305" customFormat="false" ht="15" hidden="false" customHeight="false" outlineLevel="0" collapsed="false">
      <c r="A305" s="0" t="s">
        <v>93</v>
      </c>
      <c r="B305" s="0" t="s">
        <v>34</v>
      </c>
      <c r="C305" s="0" t="s">
        <v>58</v>
      </c>
      <c r="D305" s="0" t="n">
        <v>35</v>
      </c>
      <c r="E305" s="0" t="s">
        <v>36</v>
      </c>
      <c r="F305" s="0" t="s">
        <v>202</v>
      </c>
      <c r="G305" s="0" t="s">
        <v>1542</v>
      </c>
      <c r="H305" s="0" t="s">
        <v>1543</v>
      </c>
      <c r="I305" s="0" t="s">
        <v>1544</v>
      </c>
      <c r="J305" s="4" t="n">
        <v>45737</v>
      </c>
      <c r="K305" s="0" t="s">
        <v>1545</v>
      </c>
      <c r="L305" s="0" t="s">
        <v>64</v>
      </c>
      <c r="M305" s="5" t="n">
        <v>2799</v>
      </c>
      <c r="N305" s="0" t="n">
        <v>4</v>
      </c>
      <c r="O305" s="0" t="s">
        <v>54</v>
      </c>
      <c r="P305" s="0" t="n">
        <v>4</v>
      </c>
      <c r="Q305" s="5" t="n">
        <v>0</v>
      </c>
      <c r="R305" s="4" t="n">
        <v>45743</v>
      </c>
      <c r="S305" s="0" t="s">
        <v>1546</v>
      </c>
      <c r="T305" s="0" t="n">
        <f aca="false">R305-J305</f>
        <v>6</v>
      </c>
      <c r="U305" s="5" t="n">
        <f aca="false">M305*N305</f>
        <v>11196</v>
      </c>
      <c r="V305" s="6" t="n">
        <f aca="false">IF(O305="FLAT5",5%,IF(O305="FLAT10",10%,IF(O305="FLAT15",15%,IF(O305="FLAT20",20%,0))))</f>
        <v>0</v>
      </c>
      <c r="W305" s="5" t="n">
        <f aca="false">U305*(1-V305)</f>
        <v>11196</v>
      </c>
      <c r="X305" s="5" t="n">
        <f aca="false">W305+IF(O305="DEL0",0,Q305)</f>
        <v>11196</v>
      </c>
      <c r="Y305" s="0" t="str">
        <f aca="false">B305&amp;" "&amp;C305</f>
        <v>Diya Iyer</v>
      </c>
      <c r="Z305" s="0" t="str">
        <f aca="false">IF(T305&lt;P305,"BeforeTime",IF(T305=P305,"Intime","Late"))</f>
        <v>Late</v>
      </c>
      <c r="AA305" s="0" t="str">
        <f aca="false">TEXT(J305,"mmm")</f>
        <v>Mar</v>
      </c>
      <c r="AB305" s="0" t="e">
        <f aca="false">xlookup(L305,Products!A:A,Products!B:B,"")</f>
        <v>#NAME?</v>
      </c>
    </row>
    <row r="306" customFormat="false" ht="15" hidden="false" customHeight="false" outlineLevel="0" collapsed="false">
      <c r="A306" s="0" t="s">
        <v>1389</v>
      </c>
      <c r="B306" s="0" t="s">
        <v>174</v>
      </c>
      <c r="C306" s="0" t="s">
        <v>210</v>
      </c>
      <c r="D306" s="0" t="n">
        <v>42</v>
      </c>
      <c r="E306" s="0" t="s">
        <v>36</v>
      </c>
      <c r="F306" s="0" t="s">
        <v>77</v>
      </c>
      <c r="G306" s="0" t="s">
        <v>1547</v>
      </c>
      <c r="H306" s="0" t="s">
        <v>806</v>
      </c>
      <c r="I306" s="0" t="s">
        <v>1548</v>
      </c>
      <c r="J306" s="4" t="n">
        <v>45820</v>
      </c>
      <c r="K306" s="0" t="s">
        <v>1067</v>
      </c>
      <c r="L306" s="0" t="s">
        <v>129</v>
      </c>
      <c r="M306" s="5" t="n">
        <v>2999</v>
      </c>
      <c r="N306" s="0" t="n">
        <v>2</v>
      </c>
      <c r="O306" s="0" t="s">
        <v>101</v>
      </c>
      <c r="P306" s="0" t="n">
        <v>6</v>
      </c>
      <c r="Q306" s="5" t="n">
        <v>75</v>
      </c>
      <c r="R306" s="4" t="n">
        <v>45829</v>
      </c>
      <c r="S306" s="0" t="s">
        <v>1549</v>
      </c>
      <c r="T306" s="0" t="n">
        <f aca="false">R306-J306</f>
        <v>9</v>
      </c>
      <c r="U306" s="5" t="n">
        <f aca="false">M306*N306</f>
        <v>5998</v>
      </c>
      <c r="V306" s="6" t="n">
        <f aca="false">IF(O306="FLAT5",5%,IF(O306="FLAT10",10%,IF(O306="FLAT15",15%,IF(O306="FLAT20",20%,0))))</f>
        <v>0.15</v>
      </c>
      <c r="W306" s="5" t="n">
        <f aca="false">U306*(1-V306)</f>
        <v>5098.3</v>
      </c>
      <c r="X306" s="5" t="n">
        <f aca="false">W306+IF(O306="DEL0",0,Q306)</f>
        <v>5173.3</v>
      </c>
      <c r="Y306" s="0" t="str">
        <f aca="false">B306&amp;" "&amp;C306</f>
        <v>Ananya Reddy</v>
      </c>
      <c r="Z306" s="0" t="str">
        <f aca="false">IF(T306&lt;P306,"BeforeTime",IF(T306=P306,"Intime","Late"))</f>
        <v>Late</v>
      </c>
      <c r="AA306" s="0" t="str">
        <f aca="false">TEXT(J306,"mmm")</f>
        <v>Jun</v>
      </c>
      <c r="AB306" s="0" t="e">
        <f aca="false">xlookup(L306,Products!A:A,Products!B:B,"")</f>
        <v>#NAME?</v>
      </c>
    </row>
    <row r="307" customFormat="false" ht="15" hidden="false" customHeight="false" outlineLevel="0" collapsed="false">
      <c r="A307" s="0" t="s">
        <v>1550</v>
      </c>
      <c r="B307" s="0" t="s">
        <v>209</v>
      </c>
      <c r="C307" s="0" t="s">
        <v>181</v>
      </c>
      <c r="D307" s="0" t="n">
        <v>22</v>
      </c>
      <c r="E307" s="0" t="s">
        <v>48</v>
      </c>
      <c r="F307" s="0" t="s">
        <v>248</v>
      </c>
      <c r="G307" s="0" t="s">
        <v>1551</v>
      </c>
      <c r="H307" s="0" t="s">
        <v>1345</v>
      </c>
      <c r="I307" s="0" t="s">
        <v>1552</v>
      </c>
      <c r="J307" s="4" t="n">
        <v>45908</v>
      </c>
      <c r="K307" s="0" t="s">
        <v>973</v>
      </c>
      <c r="L307" s="0" t="s">
        <v>240</v>
      </c>
      <c r="M307" s="5" t="n">
        <v>4999</v>
      </c>
      <c r="N307" s="0" t="n">
        <v>3</v>
      </c>
      <c r="O307" s="0" t="s">
        <v>101</v>
      </c>
      <c r="P307" s="0" t="n">
        <v>3</v>
      </c>
      <c r="Q307" s="5" t="n">
        <v>90</v>
      </c>
      <c r="R307" s="4" t="n">
        <v>45911</v>
      </c>
      <c r="S307" s="0" t="s">
        <v>309</v>
      </c>
      <c r="T307" s="0" t="n">
        <f aca="false">R307-J307</f>
        <v>3</v>
      </c>
      <c r="U307" s="5" t="n">
        <f aca="false">M307*N307</f>
        <v>14997</v>
      </c>
      <c r="V307" s="6" t="n">
        <f aca="false">IF(O307="FLAT5",5%,IF(O307="FLAT10",10%,IF(O307="FLAT15",15%,IF(O307="FLAT20",20%,0))))</f>
        <v>0.15</v>
      </c>
      <c r="W307" s="5" t="n">
        <f aca="false">U307*(1-V307)</f>
        <v>12747.45</v>
      </c>
      <c r="X307" s="5" t="n">
        <f aca="false">W307+IF(O307="DEL0",0,Q307)</f>
        <v>12837.45</v>
      </c>
      <c r="Y307" s="0" t="str">
        <f aca="false">B307&amp;" "&amp;C307</f>
        <v>Ishaan Gupta</v>
      </c>
      <c r="Z307" s="0" t="str">
        <f aca="false">IF(T307&lt;P307,"BeforeTime",IF(T307=P307,"Intime","Late"))</f>
        <v>Intime</v>
      </c>
      <c r="AA307" s="0" t="str">
        <f aca="false">TEXT(J307,"mmm")</f>
        <v>Sep</v>
      </c>
      <c r="AB307" s="0" t="e">
        <f aca="false">xlookup(L307,Products!A:A,Products!B:B,"")</f>
        <v>#NAME?</v>
      </c>
    </row>
    <row r="308" customFormat="false" ht="15" hidden="false" customHeight="false" outlineLevel="0" collapsed="false">
      <c r="A308" s="0" t="s">
        <v>943</v>
      </c>
      <c r="B308" s="0" t="s">
        <v>46</v>
      </c>
      <c r="C308" s="0" t="s">
        <v>113</v>
      </c>
      <c r="D308" s="0" t="n">
        <v>24</v>
      </c>
      <c r="E308" s="0" t="s">
        <v>36</v>
      </c>
      <c r="F308" s="0" t="s">
        <v>248</v>
      </c>
      <c r="G308" s="0" t="s">
        <v>1553</v>
      </c>
      <c r="H308" s="0" t="s">
        <v>133</v>
      </c>
      <c r="I308" s="0" t="s">
        <v>1554</v>
      </c>
      <c r="J308" s="4" t="n">
        <v>45890</v>
      </c>
      <c r="K308" s="0" t="s">
        <v>1555</v>
      </c>
      <c r="L308" s="0" t="s">
        <v>72</v>
      </c>
      <c r="M308" s="5" t="n">
        <v>1299</v>
      </c>
      <c r="N308" s="0" t="n">
        <v>3</v>
      </c>
      <c r="O308" s="0" t="s">
        <v>101</v>
      </c>
      <c r="P308" s="0" t="n">
        <v>2</v>
      </c>
      <c r="Q308" s="5" t="n">
        <v>120</v>
      </c>
      <c r="R308" s="4" t="n">
        <v>45896</v>
      </c>
      <c r="S308" s="0" t="s">
        <v>1556</v>
      </c>
      <c r="T308" s="0" t="n">
        <f aca="false">R308-J308</f>
        <v>6</v>
      </c>
      <c r="U308" s="5" t="n">
        <f aca="false">M308*N308</f>
        <v>3897</v>
      </c>
      <c r="V308" s="6" t="n">
        <f aca="false">IF(O308="FLAT5",5%,IF(O308="FLAT10",10%,IF(O308="FLAT15",15%,IF(O308="FLAT20",20%,0))))</f>
        <v>0.15</v>
      </c>
      <c r="W308" s="5" t="n">
        <f aca="false">U308*(1-V308)</f>
        <v>3312.45</v>
      </c>
      <c r="X308" s="5" t="n">
        <f aca="false">W308+IF(O308="DEL0",0,Q308)</f>
        <v>3432.45</v>
      </c>
      <c r="Y308" s="0" t="str">
        <f aca="false">B308&amp;" "&amp;C308</f>
        <v>Sanjana Rao</v>
      </c>
      <c r="Z308" s="0" t="str">
        <f aca="false">IF(T308&lt;P308,"BeforeTime",IF(T308=P308,"Intime","Late"))</f>
        <v>Late</v>
      </c>
      <c r="AA308" s="0" t="str">
        <f aca="false">TEXT(J308,"mmm")</f>
        <v>Aug</v>
      </c>
      <c r="AB308" s="0" t="e">
        <f aca="false">xlookup(L308,Products!A:A,Products!B:B,"")</f>
        <v>#NAME?</v>
      </c>
    </row>
    <row r="309" customFormat="false" ht="15" hidden="false" customHeight="false" outlineLevel="0" collapsed="false">
      <c r="A309" s="0" t="s">
        <v>891</v>
      </c>
      <c r="B309" s="0" t="s">
        <v>86</v>
      </c>
      <c r="C309" s="0" t="s">
        <v>76</v>
      </c>
      <c r="D309" s="0" t="n">
        <v>54</v>
      </c>
      <c r="E309" s="0" t="s">
        <v>48</v>
      </c>
      <c r="F309" s="0" t="s">
        <v>37</v>
      </c>
      <c r="G309" s="0" t="s">
        <v>1557</v>
      </c>
      <c r="H309" s="0" t="s">
        <v>746</v>
      </c>
      <c r="I309" s="0" t="s">
        <v>1558</v>
      </c>
      <c r="J309" s="4" t="n">
        <v>45736</v>
      </c>
      <c r="K309" s="0" t="s">
        <v>1559</v>
      </c>
      <c r="L309" s="0" t="s">
        <v>240</v>
      </c>
      <c r="M309" s="5" t="n">
        <v>4999</v>
      </c>
      <c r="N309" s="0" t="n">
        <v>4</v>
      </c>
      <c r="O309" s="0" t="s">
        <v>54</v>
      </c>
      <c r="P309" s="0" t="n">
        <v>6</v>
      </c>
      <c r="Q309" s="5" t="n">
        <v>0</v>
      </c>
      <c r="R309" s="4" t="n">
        <v>45742</v>
      </c>
      <c r="S309" s="0" t="s">
        <v>531</v>
      </c>
      <c r="T309" s="0" t="n">
        <f aca="false">R309-J309</f>
        <v>6</v>
      </c>
      <c r="U309" s="5" t="n">
        <f aca="false">M309*N309</f>
        <v>19996</v>
      </c>
      <c r="V309" s="6" t="n">
        <f aca="false">IF(O309="FLAT5",5%,IF(O309="FLAT10",10%,IF(O309="FLAT15",15%,IF(O309="FLAT20",20%,0))))</f>
        <v>0</v>
      </c>
      <c r="W309" s="5" t="n">
        <f aca="false">U309*(1-V309)</f>
        <v>19996</v>
      </c>
      <c r="X309" s="5" t="n">
        <f aca="false">W309+IF(O309="DEL0",0,Q309)</f>
        <v>19996</v>
      </c>
      <c r="Y309" s="0" t="str">
        <f aca="false">B309&amp;" "&amp;C309</f>
        <v>Rahul Patel</v>
      </c>
      <c r="Z309" s="0" t="str">
        <f aca="false">IF(T309&lt;P309,"BeforeTime",IF(T309=P309,"Intime","Late"))</f>
        <v>Intime</v>
      </c>
      <c r="AA309" s="0" t="str">
        <f aca="false">TEXT(J309,"mmm")</f>
        <v>Mar</v>
      </c>
      <c r="AB309" s="0" t="e">
        <f aca="false">xlookup(L309,Products!A:A,Products!B:B,"")</f>
        <v>#NAME?</v>
      </c>
    </row>
    <row r="310" customFormat="false" ht="15" hidden="false" customHeight="false" outlineLevel="0" collapsed="false">
      <c r="A310" s="0" t="s">
        <v>121</v>
      </c>
      <c r="B310" s="0" t="s">
        <v>57</v>
      </c>
      <c r="C310" s="0" t="s">
        <v>210</v>
      </c>
      <c r="D310" s="0" t="n">
        <v>28</v>
      </c>
      <c r="E310" s="0" t="s">
        <v>36</v>
      </c>
      <c r="F310" s="0" t="s">
        <v>202</v>
      </c>
      <c r="G310" s="0" t="s">
        <v>1560</v>
      </c>
      <c r="H310" s="0" t="s">
        <v>1339</v>
      </c>
      <c r="I310" s="0" t="s">
        <v>1561</v>
      </c>
      <c r="J310" s="4" t="n">
        <v>45708</v>
      </c>
      <c r="K310" s="0" t="s">
        <v>1562</v>
      </c>
      <c r="L310" s="0" t="s">
        <v>100</v>
      </c>
      <c r="M310" s="5" t="n">
        <v>999</v>
      </c>
      <c r="N310" s="0" t="n">
        <v>1</v>
      </c>
      <c r="O310" s="0" t="s">
        <v>101</v>
      </c>
      <c r="P310" s="0" t="n">
        <v>2</v>
      </c>
      <c r="Q310" s="5" t="n">
        <v>75</v>
      </c>
      <c r="R310" s="4" t="n">
        <v>45710</v>
      </c>
      <c r="S310" s="0" t="s">
        <v>516</v>
      </c>
      <c r="T310" s="0" t="n">
        <f aca="false">R310-J310</f>
        <v>2</v>
      </c>
      <c r="U310" s="5" t="n">
        <f aca="false">M310*N310</f>
        <v>999</v>
      </c>
      <c r="V310" s="6" t="n">
        <f aca="false">IF(O310="FLAT5",5%,IF(O310="FLAT10",10%,IF(O310="FLAT15",15%,IF(O310="FLAT20",20%,0))))</f>
        <v>0.15</v>
      </c>
      <c r="W310" s="5" t="n">
        <f aca="false">U310*(1-V310)</f>
        <v>849.15</v>
      </c>
      <c r="X310" s="5" t="n">
        <f aca="false">W310+IF(O310="DEL0",0,Q310)</f>
        <v>924.15</v>
      </c>
      <c r="Y310" s="0" t="str">
        <f aca="false">B310&amp;" "&amp;C310</f>
        <v>Arjun Reddy</v>
      </c>
      <c r="Z310" s="0" t="str">
        <f aca="false">IF(T310&lt;P310,"BeforeTime",IF(T310=P310,"Intime","Late"))</f>
        <v>Intime</v>
      </c>
      <c r="AA310" s="0" t="str">
        <f aca="false">TEXT(J310,"mmm")</f>
        <v>Feb</v>
      </c>
      <c r="AB310" s="0" t="e">
        <f aca="false">xlookup(L310,Products!A:A,Products!B:B,"")</f>
        <v>#NAME?</v>
      </c>
    </row>
    <row r="311" customFormat="false" ht="15" hidden="false" customHeight="false" outlineLevel="0" collapsed="false">
      <c r="A311" s="0" t="s">
        <v>1563</v>
      </c>
      <c r="B311" s="0" t="s">
        <v>174</v>
      </c>
      <c r="C311" s="0" t="s">
        <v>417</v>
      </c>
      <c r="D311" s="0" t="n">
        <v>34</v>
      </c>
      <c r="E311" s="0" t="s">
        <v>36</v>
      </c>
      <c r="F311" s="0" t="s">
        <v>202</v>
      </c>
      <c r="G311" s="0" t="s">
        <v>1564</v>
      </c>
      <c r="H311" s="0" t="s">
        <v>1565</v>
      </c>
      <c r="I311" s="0" t="s">
        <v>1566</v>
      </c>
      <c r="J311" s="4" t="n">
        <v>45698</v>
      </c>
      <c r="K311" s="0" t="s">
        <v>1555</v>
      </c>
      <c r="L311" s="0" t="s">
        <v>100</v>
      </c>
      <c r="M311" s="5" t="n">
        <v>999</v>
      </c>
      <c r="N311" s="0" t="n">
        <v>4</v>
      </c>
      <c r="O311" s="0" t="s">
        <v>259</v>
      </c>
      <c r="P311" s="0" t="n">
        <v>5</v>
      </c>
      <c r="Q311" s="5" t="n">
        <v>60</v>
      </c>
      <c r="R311" s="4" t="n">
        <v>45704</v>
      </c>
      <c r="S311" s="0" t="s">
        <v>1567</v>
      </c>
      <c r="T311" s="0" t="n">
        <f aca="false">R311-J311</f>
        <v>6</v>
      </c>
      <c r="U311" s="5" t="n">
        <f aca="false">M311*N311</f>
        <v>3996</v>
      </c>
      <c r="V311" s="6" t="n">
        <f aca="false">IF(O311="FLAT5",5%,IF(O311="FLAT10",10%,IF(O311="FLAT15",15%,IF(O311="FLAT20",20%,0))))</f>
        <v>0</v>
      </c>
      <c r="W311" s="5" t="n">
        <f aca="false">U311*(1-V311)</f>
        <v>3996</v>
      </c>
      <c r="X311" s="5" t="n">
        <f aca="false">W311+IF(O311="DEL0",0,Q311)</f>
        <v>4056</v>
      </c>
      <c r="Y311" s="0" t="str">
        <f aca="false">B311&amp;" "&amp;C311</f>
        <v>Ananya Mehta</v>
      </c>
      <c r="Z311" s="0" t="str">
        <f aca="false">IF(T311&lt;P311,"BeforeTime",IF(T311=P311,"Intime","Late"))</f>
        <v>Late</v>
      </c>
      <c r="AA311" s="0" t="str">
        <f aca="false">TEXT(J311,"mmm")</f>
        <v>Feb</v>
      </c>
      <c r="AB311" s="0" t="e">
        <f aca="false">xlookup(L311,Products!A:A,Products!B:B,"")</f>
        <v>#NAME?</v>
      </c>
    </row>
    <row r="312" customFormat="false" ht="15" hidden="false" customHeight="false" outlineLevel="0" collapsed="false">
      <c r="A312" s="0" t="s">
        <v>1568</v>
      </c>
      <c r="B312" s="0" t="s">
        <v>104</v>
      </c>
      <c r="C312" s="0" t="s">
        <v>181</v>
      </c>
      <c r="D312" s="0" t="n">
        <v>53</v>
      </c>
      <c r="E312" s="0" t="s">
        <v>36</v>
      </c>
      <c r="F312" s="0" t="s">
        <v>140</v>
      </c>
      <c r="G312" s="0" t="s">
        <v>1569</v>
      </c>
      <c r="H312" s="0" t="s">
        <v>1570</v>
      </c>
      <c r="I312" s="0" t="s">
        <v>1571</v>
      </c>
      <c r="J312" s="4" t="n">
        <v>45923</v>
      </c>
      <c r="K312" s="0" t="s">
        <v>1572</v>
      </c>
      <c r="L312" s="0" t="s">
        <v>72</v>
      </c>
      <c r="M312" s="5" t="n">
        <v>1299</v>
      </c>
      <c r="N312" s="0" t="n">
        <v>1</v>
      </c>
      <c r="O312" s="0" t="s">
        <v>259</v>
      </c>
      <c r="P312" s="0" t="n">
        <v>2</v>
      </c>
      <c r="Q312" s="5" t="n">
        <v>50</v>
      </c>
      <c r="R312" s="4" t="n">
        <v>45924</v>
      </c>
      <c r="S312" s="0" t="s">
        <v>1573</v>
      </c>
      <c r="T312" s="0" t="n">
        <f aca="false">R312-J312</f>
        <v>1</v>
      </c>
      <c r="U312" s="5" t="n">
        <f aca="false">M312*N312</f>
        <v>1299</v>
      </c>
      <c r="V312" s="6" t="n">
        <f aca="false">IF(O312="FLAT5",5%,IF(O312="FLAT10",10%,IF(O312="FLAT15",15%,IF(O312="FLAT20",20%,0))))</f>
        <v>0</v>
      </c>
      <c r="W312" s="5" t="n">
        <f aca="false">U312*(1-V312)</f>
        <v>1299</v>
      </c>
      <c r="X312" s="5" t="n">
        <f aca="false">W312+IF(O312="DEL0",0,Q312)</f>
        <v>1349</v>
      </c>
      <c r="Y312" s="0" t="str">
        <f aca="false">B312&amp;" "&amp;C312</f>
        <v>Keerthi Gupta</v>
      </c>
      <c r="Z312" s="0" t="str">
        <f aca="false">IF(T312&lt;P312,"BeforeTime",IF(T312=P312,"Intime","Late"))</f>
        <v>BeforeTime</v>
      </c>
      <c r="AA312" s="0" t="str">
        <f aca="false">TEXT(J312,"mmm")</f>
        <v>Sep</v>
      </c>
      <c r="AB312" s="0" t="e">
        <f aca="false">xlookup(L312,Products!A:A,Products!B:B,"")</f>
        <v>#NAME?</v>
      </c>
    </row>
    <row r="313" customFormat="false" ht="15" hidden="false" customHeight="false" outlineLevel="0" collapsed="false">
      <c r="A313" s="0" t="s">
        <v>1039</v>
      </c>
      <c r="B313" s="0" t="s">
        <v>94</v>
      </c>
      <c r="C313" s="0" t="s">
        <v>113</v>
      </c>
      <c r="D313" s="0" t="n">
        <v>55</v>
      </c>
      <c r="E313" s="0" t="s">
        <v>48</v>
      </c>
      <c r="F313" s="0" t="s">
        <v>140</v>
      </c>
      <c r="G313" s="0" t="s">
        <v>1574</v>
      </c>
      <c r="H313" s="0" t="s">
        <v>1128</v>
      </c>
      <c r="I313" s="0" t="s">
        <v>1575</v>
      </c>
      <c r="J313" s="4" t="n">
        <v>46017</v>
      </c>
      <c r="K313" s="0" t="s">
        <v>1576</v>
      </c>
      <c r="L313" s="0" t="s">
        <v>119</v>
      </c>
      <c r="M313" s="5" t="n">
        <v>899</v>
      </c>
      <c r="N313" s="0" t="n">
        <v>3</v>
      </c>
      <c r="O313" s="0" t="s">
        <v>43</v>
      </c>
      <c r="P313" s="0" t="n">
        <v>7</v>
      </c>
      <c r="Q313" s="5" t="n">
        <v>40</v>
      </c>
      <c r="R313" s="4" t="n">
        <v>46024</v>
      </c>
      <c r="S313" s="0" t="s">
        <v>1577</v>
      </c>
      <c r="T313" s="0" t="n">
        <f aca="false">R313-J313</f>
        <v>7</v>
      </c>
      <c r="U313" s="5" t="n">
        <f aca="false">M313*N313</f>
        <v>2697</v>
      </c>
      <c r="V313" s="6" t="n">
        <f aca="false">IF(O313="FLAT5",5%,IF(O313="FLAT10",10%,IF(O313="FLAT15",15%,IF(O313="FLAT20",20%,0))))</f>
        <v>0.2</v>
      </c>
      <c r="W313" s="5" t="n">
        <f aca="false">U313*(1-V313)</f>
        <v>2157.6</v>
      </c>
      <c r="X313" s="5" t="n">
        <f aca="false">W313+IF(O313="DEL0",0,Q313)</f>
        <v>2197.6</v>
      </c>
      <c r="Y313" s="0" t="str">
        <f aca="false">B313&amp;" "&amp;C313</f>
        <v>Manoj Rao</v>
      </c>
      <c r="Z313" s="0" t="str">
        <f aca="false">IF(T313&lt;P313,"BeforeTime",IF(T313=P313,"Intime","Late"))</f>
        <v>Intime</v>
      </c>
      <c r="AA313" s="0" t="str">
        <f aca="false">TEXT(J313,"mmm")</f>
        <v>Dec</v>
      </c>
      <c r="AB313" s="0" t="e">
        <f aca="false">xlookup(L313,Products!A:A,Products!B:B,"")</f>
        <v>#NAME?</v>
      </c>
    </row>
    <row r="314" customFormat="false" ht="15" hidden="false" customHeight="false" outlineLevel="0" collapsed="false">
      <c r="A314" s="0" t="s">
        <v>632</v>
      </c>
      <c r="B314" s="0" t="s">
        <v>582</v>
      </c>
      <c r="C314" s="0" t="s">
        <v>105</v>
      </c>
      <c r="D314" s="0" t="n">
        <v>42</v>
      </c>
      <c r="E314" s="0" t="s">
        <v>48</v>
      </c>
      <c r="F314" s="0" t="s">
        <v>77</v>
      </c>
      <c r="G314" s="0" t="s">
        <v>1578</v>
      </c>
      <c r="H314" s="0" t="s">
        <v>1377</v>
      </c>
      <c r="I314" s="0" t="s">
        <v>1579</v>
      </c>
      <c r="J314" s="4" t="n">
        <v>45982</v>
      </c>
      <c r="K314" s="0" t="s">
        <v>1580</v>
      </c>
      <c r="L314" s="0" t="s">
        <v>391</v>
      </c>
      <c r="M314" s="5" t="n">
        <v>3499</v>
      </c>
      <c r="N314" s="0" t="n">
        <v>3</v>
      </c>
      <c r="O314" s="0" t="s">
        <v>91</v>
      </c>
      <c r="P314" s="0" t="n">
        <v>5</v>
      </c>
      <c r="Q314" s="5" t="n">
        <v>90</v>
      </c>
      <c r="R314" s="4" t="n">
        <v>45990</v>
      </c>
      <c r="S314" s="0" t="s">
        <v>1581</v>
      </c>
      <c r="T314" s="0" t="n">
        <f aca="false">R314-J314</f>
        <v>8</v>
      </c>
      <c r="U314" s="5" t="n">
        <f aca="false">M314*N314</f>
        <v>10497</v>
      </c>
      <c r="V314" s="6" t="n">
        <f aca="false">IF(O314="FLAT5",5%,IF(O314="FLAT10",10%,IF(O314="FLAT15",15%,IF(O314="FLAT20",20%,0))))</f>
        <v>0.1</v>
      </c>
      <c r="W314" s="5" t="n">
        <f aca="false">U314*(1-V314)</f>
        <v>9447.3</v>
      </c>
      <c r="X314" s="5" t="n">
        <f aca="false">W314+IF(O314="DEL0",0,Q314)</f>
        <v>9537.3</v>
      </c>
      <c r="Y314" s="0" t="str">
        <f aca="false">B314&amp;" "&amp;C314</f>
        <v>Kavya Bhat</v>
      </c>
      <c r="Z314" s="0" t="str">
        <f aca="false">IF(T314&lt;P314,"BeforeTime",IF(T314=P314,"Intime","Late"))</f>
        <v>Late</v>
      </c>
      <c r="AA314" s="0" t="str">
        <f aca="false">TEXT(J314,"mmm")</f>
        <v>Nov</v>
      </c>
      <c r="AB314" s="0" t="e">
        <f aca="false">xlookup(L314,Products!A:A,Products!B:B,"")</f>
        <v>#NAME?</v>
      </c>
    </row>
    <row r="315" customFormat="false" ht="15" hidden="false" customHeight="false" outlineLevel="0" collapsed="false">
      <c r="A315" s="0" t="s">
        <v>527</v>
      </c>
      <c r="B315" s="0" t="s">
        <v>75</v>
      </c>
      <c r="C315" s="0" t="s">
        <v>417</v>
      </c>
      <c r="D315" s="0" t="n">
        <v>48</v>
      </c>
      <c r="E315" s="0" t="s">
        <v>48</v>
      </c>
      <c r="F315" s="0" t="s">
        <v>160</v>
      </c>
      <c r="G315" s="0" t="s">
        <v>1582</v>
      </c>
      <c r="H315" s="0" t="s">
        <v>1583</v>
      </c>
      <c r="I315" s="0" t="s">
        <v>1584</v>
      </c>
      <c r="J315" s="4" t="n">
        <v>45963</v>
      </c>
      <c r="K315" s="0" t="s">
        <v>1585</v>
      </c>
      <c r="L315" s="0" t="s">
        <v>110</v>
      </c>
      <c r="M315" s="5" t="n">
        <v>1499</v>
      </c>
      <c r="N315" s="0" t="n">
        <v>1</v>
      </c>
      <c r="O315" s="0" t="s">
        <v>259</v>
      </c>
      <c r="P315" s="0" t="n">
        <v>2</v>
      </c>
      <c r="Q315" s="5" t="n">
        <v>60</v>
      </c>
      <c r="R315" s="4" t="n">
        <v>45965</v>
      </c>
      <c r="S315" s="0" t="s">
        <v>941</v>
      </c>
      <c r="T315" s="0" t="n">
        <f aca="false">R315-J315</f>
        <v>2</v>
      </c>
      <c r="U315" s="5" t="n">
        <f aca="false">M315*N315</f>
        <v>1499</v>
      </c>
      <c r="V315" s="6" t="n">
        <f aca="false">IF(O315="FLAT5",5%,IF(O315="FLAT10",10%,IF(O315="FLAT15",15%,IF(O315="FLAT20",20%,0))))</f>
        <v>0</v>
      </c>
      <c r="W315" s="5" t="n">
        <f aca="false">U315*(1-V315)</f>
        <v>1499</v>
      </c>
      <c r="X315" s="5" t="n">
        <f aca="false">W315+IF(O315="DEL0",0,Q315)</f>
        <v>1559</v>
      </c>
      <c r="Y315" s="0" t="str">
        <f aca="false">B315&amp;" "&amp;C315</f>
        <v>Vikram Mehta</v>
      </c>
      <c r="Z315" s="0" t="str">
        <f aca="false">IF(T315&lt;P315,"BeforeTime",IF(T315=P315,"Intime","Late"))</f>
        <v>Intime</v>
      </c>
      <c r="AA315" s="0" t="str">
        <f aca="false">TEXT(J315,"mmm")</f>
        <v>Nov</v>
      </c>
      <c r="AB315" s="0" t="e">
        <f aca="false">xlookup(L315,Products!A:A,Products!B:B,"")</f>
        <v>#NAME?</v>
      </c>
    </row>
    <row r="316" customFormat="false" ht="15" hidden="false" customHeight="false" outlineLevel="0" collapsed="false">
      <c r="A316" s="0" t="s">
        <v>1586</v>
      </c>
      <c r="B316" s="0" t="s">
        <v>75</v>
      </c>
      <c r="C316" s="0" t="s">
        <v>195</v>
      </c>
      <c r="D316" s="0" t="n">
        <v>26</v>
      </c>
      <c r="E316" s="0" t="s">
        <v>36</v>
      </c>
      <c r="F316" s="0" t="s">
        <v>248</v>
      </c>
      <c r="G316" s="0" t="s">
        <v>1587</v>
      </c>
      <c r="H316" s="0" t="s">
        <v>435</v>
      </c>
      <c r="I316" s="0" t="s">
        <v>1588</v>
      </c>
      <c r="J316" s="4" t="n">
        <v>45845</v>
      </c>
      <c r="K316" s="0" t="s">
        <v>227</v>
      </c>
      <c r="L316" s="0" t="s">
        <v>391</v>
      </c>
      <c r="M316" s="5" t="n">
        <v>3499</v>
      </c>
      <c r="N316" s="0" t="n">
        <v>2</v>
      </c>
      <c r="O316" s="0" t="s">
        <v>83</v>
      </c>
      <c r="P316" s="0" t="n">
        <v>6</v>
      </c>
      <c r="Q316" s="5" t="n">
        <v>60</v>
      </c>
      <c r="R316" s="4" t="n">
        <v>45851</v>
      </c>
      <c r="S316" s="0" t="s">
        <v>309</v>
      </c>
      <c r="T316" s="0" t="n">
        <f aca="false">R316-J316</f>
        <v>6</v>
      </c>
      <c r="U316" s="5" t="n">
        <f aca="false">M316*N316</f>
        <v>6998</v>
      </c>
      <c r="V316" s="6" t="n">
        <f aca="false">IF(O316="FLAT5",5%,IF(O316="FLAT10",10%,IF(O316="FLAT15",15%,IF(O316="FLAT20",20%,0))))</f>
        <v>0.05</v>
      </c>
      <c r="W316" s="5" t="n">
        <f aca="false">U316*(1-V316)</f>
        <v>6648.1</v>
      </c>
      <c r="X316" s="5" t="n">
        <f aca="false">W316+IF(O316="DEL0",0,Q316)</f>
        <v>6708.1</v>
      </c>
      <c r="Y316" s="0" t="str">
        <f aca="false">B316&amp;" "&amp;C316</f>
        <v>Vikram Singh</v>
      </c>
      <c r="Z316" s="0" t="str">
        <f aca="false">IF(T316&lt;P316,"BeforeTime",IF(T316=P316,"Intime","Late"))</f>
        <v>Intime</v>
      </c>
      <c r="AA316" s="0" t="str">
        <f aca="false">TEXT(J316,"mmm")</f>
        <v>Jul</v>
      </c>
      <c r="AB316" s="0" t="e">
        <f aca="false">xlookup(L316,Products!A:A,Products!B:B,"")</f>
        <v>#NAME?</v>
      </c>
    </row>
    <row r="317" customFormat="false" ht="15" hidden="false" customHeight="false" outlineLevel="0" collapsed="false">
      <c r="A317" s="0" t="s">
        <v>834</v>
      </c>
      <c r="B317" s="0" t="s">
        <v>188</v>
      </c>
      <c r="C317" s="0" t="s">
        <v>76</v>
      </c>
      <c r="D317" s="0" t="n">
        <v>40</v>
      </c>
      <c r="E317" s="0" t="s">
        <v>48</v>
      </c>
      <c r="F317" s="0" t="s">
        <v>262</v>
      </c>
      <c r="G317" s="0" t="s">
        <v>1589</v>
      </c>
      <c r="H317" s="0" t="s">
        <v>534</v>
      </c>
      <c r="I317" s="0" t="s">
        <v>1590</v>
      </c>
      <c r="J317" s="4" t="n">
        <v>45811</v>
      </c>
      <c r="K317" s="0" t="s">
        <v>152</v>
      </c>
      <c r="L317" s="0" t="s">
        <v>53</v>
      </c>
      <c r="M317" s="5" t="n">
        <v>2499</v>
      </c>
      <c r="N317" s="0" t="n">
        <v>1</v>
      </c>
      <c r="O317" s="0" t="s">
        <v>43</v>
      </c>
      <c r="P317" s="0" t="n">
        <v>2</v>
      </c>
      <c r="Q317" s="5" t="n">
        <v>90</v>
      </c>
      <c r="R317" s="4" t="n">
        <v>45813</v>
      </c>
      <c r="S317" s="0" t="s">
        <v>120</v>
      </c>
      <c r="T317" s="0" t="n">
        <f aca="false">R317-J317</f>
        <v>2</v>
      </c>
      <c r="U317" s="5" t="n">
        <f aca="false">M317*N317</f>
        <v>2499</v>
      </c>
      <c r="V317" s="6" t="n">
        <f aca="false">IF(O317="FLAT5",5%,IF(O317="FLAT10",10%,IF(O317="FLAT15",15%,IF(O317="FLAT20",20%,0))))</f>
        <v>0.2</v>
      </c>
      <c r="W317" s="5" t="n">
        <f aca="false">U317*(1-V317)</f>
        <v>1999.2</v>
      </c>
      <c r="X317" s="5" t="n">
        <f aca="false">W317+IF(O317="DEL0",0,Q317)</f>
        <v>2089.2</v>
      </c>
      <c r="Y317" s="0" t="str">
        <f aca="false">B317&amp;" "&amp;C317</f>
        <v>Rohan Patel</v>
      </c>
      <c r="Z317" s="0" t="str">
        <f aca="false">IF(T317&lt;P317,"BeforeTime",IF(T317=P317,"Intime","Late"))</f>
        <v>Intime</v>
      </c>
      <c r="AA317" s="0" t="str">
        <f aca="false">TEXT(J317,"mmm")</f>
        <v>Jun</v>
      </c>
      <c r="AB317" s="0" t="e">
        <f aca="false">xlookup(L317,Products!A:A,Products!B:B,"")</f>
        <v>#NAME?</v>
      </c>
    </row>
    <row r="318" customFormat="false" ht="15" hidden="false" customHeight="false" outlineLevel="0" collapsed="false">
      <c r="A318" s="0" t="s">
        <v>819</v>
      </c>
      <c r="B318" s="0" t="s">
        <v>282</v>
      </c>
      <c r="C318" s="0" t="s">
        <v>95</v>
      </c>
      <c r="D318" s="0" t="n">
        <v>27</v>
      </c>
      <c r="E318" s="0" t="s">
        <v>36</v>
      </c>
      <c r="F318" s="0" t="s">
        <v>124</v>
      </c>
      <c r="G318" s="0" t="s">
        <v>1591</v>
      </c>
      <c r="H318" s="0" t="s">
        <v>1592</v>
      </c>
      <c r="I318" s="0" t="s">
        <v>1593</v>
      </c>
      <c r="J318" s="4" t="n">
        <v>45926</v>
      </c>
      <c r="K318" s="0" t="s">
        <v>1594</v>
      </c>
      <c r="L318" s="0" t="s">
        <v>110</v>
      </c>
      <c r="M318" s="5" t="n">
        <v>1499</v>
      </c>
      <c r="N318" s="0" t="n">
        <v>4</v>
      </c>
      <c r="O318" s="0" t="s">
        <v>83</v>
      </c>
      <c r="P318" s="0" t="n">
        <v>2</v>
      </c>
      <c r="Q318" s="5" t="n">
        <v>90</v>
      </c>
      <c r="R318" s="4" t="n">
        <v>45928</v>
      </c>
      <c r="S318" s="0" t="s">
        <v>1595</v>
      </c>
      <c r="T318" s="0" t="n">
        <f aca="false">R318-J318</f>
        <v>2</v>
      </c>
      <c r="U318" s="5" t="n">
        <f aca="false">M318*N318</f>
        <v>5996</v>
      </c>
      <c r="V318" s="6" t="n">
        <f aca="false">IF(O318="FLAT5",5%,IF(O318="FLAT10",10%,IF(O318="FLAT15",15%,IF(O318="FLAT20",20%,0))))</f>
        <v>0.05</v>
      </c>
      <c r="W318" s="5" t="n">
        <f aca="false">U318*(1-V318)</f>
        <v>5696.2</v>
      </c>
      <c r="X318" s="5" t="n">
        <f aca="false">W318+IF(O318="DEL0",0,Q318)</f>
        <v>5786.2</v>
      </c>
      <c r="Y318" s="0" t="str">
        <f aca="false">B318&amp;" "&amp;C318</f>
        <v>Nisha Mishra</v>
      </c>
      <c r="Z318" s="0" t="str">
        <f aca="false">IF(T318&lt;P318,"BeforeTime",IF(T318=P318,"Intime","Late"))</f>
        <v>Intime</v>
      </c>
      <c r="AA318" s="0" t="str">
        <f aca="false">TEXT(J318,"mmm")</f>
        <v>Sep</v>
      </c>
      <c r="AB318" s="0" t="e">
        <f aca="false">xlookup(L318,Products!A:A,Products!B:B,"")</f>
        <v>#NAME?</v>
      </c>
    </row>
    <row r="319" customFormat="false" ht="15" hidden="false" customHeight="false" outlineLevel="0" collapsed="false">
      <c r="A319" s="0" t="s">
        <v>1181</v>
      </c>
      <c r="B319" s="0" t="s">
        <v>294</v>
      </c>
      <c r="C319" s="0" t="s">
        <v>105</v>
      </c>
      <c r="D319" s="0" t="n">
        <v>58</v>
      </c>
      <c r="E319" s="0" t="s">
        <v>36</v>
      </c>
      <c r="F319" s="0" t="s">
        <v>37</v>
      </c>
      <c r="G319" s="0" t="s">
        <v>1596</v>
      </c>
      <c r="H319" s="0" t="s">
        <v>351</v>
      </c>
      <c r="I319" s="0" t="s">
        <v>1597</v>
      </c>
      <c r="J319" s="4" t="n">
        <v>45733</v>
      </c>
      <c r="K319" s="0" t="s">
        <v>1598</v>
      </c>
      <c r="L319" s="0" t="s">
        <v>136</v>
      </c>
      <c r="M319" s="5" t="n">
        <v>1799</v>
      </c>
      <c r="N319" s="0" t="n">
        <v>3</v>
      </c>
      <c r="O319" s="0" t="s">
        <v>54</v>
      </c>
      <c r="P319" s="0" t="n">
        <v>3</v>
      </c>
      <c r="Q319" s="5" t="n">
        <v>0</v>
      </c>
      <c r="R319" s="4" t="n">
        <v>45736</v>
      </c>
      <c r="S319" s="0" t="s">
        <v>1599</v>
      </c>
      <c r="T319" s="0" t="n">
        <f aca="false">R319-J319</f>
        <v>3</v>
      </c>
      <c r="U319" s="5" t="n">
        <f aca="false">M319*N319</f>
        <v>5397</v>
      </c>
      <c r="V319" s="6" t="n">
        <f aca="false">IF(O319="FLAT5",5%,IF(O319="FLAT10",10%,IF(O319="FLAT15",15%,IF(O319="FLAT20",20%,0))))</f>
        <v>0</v>
      </c>
      <c r="W319" s="5" t="n">
        <f aca="false">U319*(1-V319)</f>
        <v>5397</v>
      </c>
      <c r="X319" s="5" t="n">
        <f aca="false">W319+IF(O319="DEL0",0,Q319)</f>
        <v>5397</v>
      </c>
      <c r="Y319" s="0" t="str">
        <f aca="false">B319&amp;" "&amp;C319</f>
        <v>Aditya Bhat</v>
      </c>
      <c r="Z319" s="0" t="str">
        <f aca="false">IF(T319&lt;P319,"BeforeTime",IF(T319=P319,"Intime","Late"))</f>
        <v>Intime</v>
      </c>
      <c r="AA319" s="0" t="str">
        <f aca="false">TEXT(J319,"mmm")</f>
        <v>Mar</v>
      </c>
      <c r="AB319" s="0" t="e">
        <f aca="false">xlookup(L319,Products!A:A,Products!B:B,"")</f>
        <v>#NAME?</v>
      </c>
    </row>
    <row r="320" customFormat="false" ht="15" hidden="false" customHeight="false" outlineLevel="0" collapsed="false">
      <c r="A320" s="0" t="s">
        <v>1394</v>
      </c>
      <c r="B320" s="0" t="s">
        <v>294</v>
      </c>
      <c r="C320" s="0" t="s">
        <v>95</v>
      </c>
      <c r="D320" s="0" t="n">
        <v>28</v>
      </c>
      <c r="E320" s="0" t="s">
        <v>36</v>
      </c>
      <c r="F320" s="0" t="s">
        <v>248</v>
      </c>
      <c r="G320" s="0" t="s">
        <v>1600</v>
      </c>
      <c r="H320" s="0" t="s">
        <v>1601</v>
      </c>
      <c r="I320" s="0" t="s">
        <v>1602</v>
      </c>
      <c r="J320" s="4" t="n">
        <v>45991</v>
      </c>
      <c r="K320" s="0" t="s">
        <v>557</v>
      </c>
      <c r="L320" s="0" t="s">
        <v>240</v>
      </c>
      <c r="M320" s="5" t="n">
        <v>4999</v>
      </c>
      <c r="N320" s="0" t="n">
        <v>2</v>
      </c>
      <c r="O320" s="0" t="s">
        <v>101</v>
      </c>
      <c r="P320" s="0" t="n">
        <v>6</v>
      </c>
      <c r="Q320" s="5" t="n">
        <v>90</v>
      </c>
      <c r="R320" s="4" t="n">
        <v>45997</v>
      </c>
      <c r="S320" s="0" t="s">
        <v>1603</v>
      </c>
      <c r="T320" s="0" t="n">
        <f aca="false">R320-J320</f>
        <v>6</v>
      </c>
      <c r="U320" s="5" t="n">
        <f aca="false">M320*N320</f>
        <v>9998</v>
      </c>
      <c r="V320" s="6" t="n">
        <f aca="false">IF(O320="FLAT5",5%,IF(O320="FLAT10",10%,IF(O320="FLAT15",15%,IF(O320="FLAT20",20%,0))))</f>
        <v>0.15</v>
      </c>
      <c r="W320" s="5" t="n">
        <f aca="false">U320*(1-V320)</f>
        <v>8498.3</v>
      </c>
      <c r="X320" s="5" t="n">
        <f aca="false">W320+IF(O320="DEL0",0,Q320)</f>
        <v>8588.3</v>
      </c>
      <c r="Y320" s="0" t="str">
        <f aca="false">B320&amp;" "&amp;C320</f>
        <v>Aditya Mishra</v>
      </c>
      <c r="Z320" s="0" t="str">
        <f aca="false">IF(T320&lt;P320,"BeforeTime",IF(T320=P320,"Intime","Late"))</f>
        <v>Intime</v>
      </c>
      <c r="AA320" s="0" t="str">
        <f aca="false">TEXT(J320,"mmm")</f>
        <v>Nov</v>
      </c>
      <c r="AB320" s="0" t="e">
        <f aca="false">xlookup(L320,Products!A:A,Products!B:B,"")</f>
        <v>#NAME?</v>
      </c>
    </row>
    <row r="321" customFormat="false" ht="15" hidden="false" customHeight="false" outlineLevel="0" collapsed="false">
      <c r="A321" s="0" t="s">
        <v>146</v>
      </c>
      <c r="B321" s="0" t="s">
        <v>282</v>
      </c>
      <c r="C321" s="0" t="s">
        <v>229</v>
      </c>
      <c r="D321" s="0" t="n">
        <v>56</v>
      </c>
      <c r="E321" s="0" t="s">
        <v>36</v>
      </c>
      <c r="F321" s="0" t="s">
        <v>140</v>
      </c>
      <c r="G321" s="0" t="s">
        <v>1604</v>
      </c>
      <c r="H321" s="0" t="s">
        <v>1605</v>
      </c>
      <c r="I321" s="0" t="s">
        <v>1606</v>
      </c>
      <c r="J321" s="4" t="n">
        <v>45836</v>
      </c>
      <c r="K321" s="0" t="s">
        <v>1607</v>
      </c>
      <c r="L321" s="0" t="s">
        <v>119</v>
      </c>
      <c r="M321" s="5" t="n">
        <v>899</v>
      </c>
      <c r="N321" s="0" t="n">
        <v>4</v>
      </c>
      <c r="O321" s="0" t="s">
        <v>101</v>
      </c>
      <c r="P321" s="0" t="n">
        <v>3</v>
      </c>
      <c r="Q321" s="5" t="n">
        <v>90</v>
      </c>
      <c r="R321" s="4" t="n">
        <v>45839</v>
      </c>
      <c r="S321" s="0" t="s">
        <v>474</v>
      </c>
      <c r="T321" s="0" t="n">
        <f aca="false">R321-J321</f>
        <v>3</v>
      </c>
      <c r="U321" s="5" t="n">
        <f aca="false">M321*N321</f>
        <v>3596</v>
      </c>
      <c r="V321" s="6" t="n">
        <f aca="false">IF(O321="FLAT5",5%,IF(O321="FLAT10",10%,IF(O321="FLAT15",15%,IF(O321="FLAT20",20%,0))))</f>
        <v>0.15</v>
      </c>
      <c r="W321" s="5" t="n">
        <f aca="false">U321*(1-V321)</f>
        <v>3056.6</v>
      </c>
      <c r="X321" s="5" t="n">
        <f aca="false">W321+IF(O321="DEL0",0,Q321)</f>
        <v>3146.6</v>
      </c>
      <c r="Y321" s="0" t="str">
        <f aca="false">B321&amp;" "&amp;C321</f>
        <v>Nisha Joshi</v>
      </c>
      <c r="Z321" s="0" t="str">
        <f aca="false">IF(T321&lt;P321,"BeforeTime",IF(T321=P321,"Intime","Late"))</f>
        <v>Intime</v>
      </c>
      <c r="AA321" s="0" t="str">
        <f aca="false">TEXT(J321,"mmm")</f>
        <v>Jun</v>
      </c>
      <c r="AB321" s="0" t="e">
        <f aca="false">xlookup(L321,Products!A:A,Products!B:B,"")</f>
        <v>#NAME?</v>
      </c>
    </row>
    <row r="322" customFormat="false" ht="15" hidden="false" customHeight="false" outlineLevel="0" collapsed="false">
      <c r="A322" s="0" t="s">
        <v>684</v>
      </c>
      <c r="B322" s="0" t="s">
        <v>394</v>
      </c>
      <c r="C322" s="0" t="s">
        <v>195</v>
      </c>
      <c r="D322" s="0" t="n">
        <v>48</v>
      </c>
      <c r="E322" s="0" t="s">
        <v>36</v>
      </c>
      <c r="F322" s="0" t="s">
        <v>37</v>
      </c>
      <c r="G322" s="0" t="s">
        <v>1608</v>
      </c>
      <c r="H322" s="0" t="s">
        <v>1609</v>
      </c>
      <c r="I322" s="0" t="s">
        <v>1610</v>
      </c>
      <c r="J322" s="4" t="n">
        <v>45701</v>
      </c>
      <c r="K322" s="0" t="s">
        <v>1611</v>
      </c>
      <c r="L322" s="0" t="s">
        <v>100</v>
      </c>
      <c r="M322" s="5" t="n">
        <v>999</v>
      </c>
      <c r="N322" s="0" t="n">
        <v>3</v>
      </c>
      <c r="O322" s="0" t="s">
        <v>83</v>
      </c>
      <c r="P322" s="0" t="n">
        <v>2</v>
      </c>
      <c r="Q322" s="5" t="n">
        <v>50</v>
      </c>
      <c r="R322" s="4" t="n">
        <v>45703</v>
      </c>
      <c r="S322" s="0" t="s">
        <v>1612</v>
      </c>
      <c r="T322" s="0" t="n">
        <f aca="false">R322-J322</f>
        <v>2</v>
      </c>
      <c r="U322" s="5" t="n">
        <f aca="false">M322*N322</f>
        <v>2997</v>
      </c>
      <c r="V322" s="6" t="n">
        <f aca="false">IF(O322="FLAT5",5%,IF(O322="FLAT10",10%,IF(O322="FLAT15",15%,IF(O322="FLAT20",20%,0))))</f>
        <v>0.05</v>
      </c>
      <c r="W322" s="5" t="n">
        <f aca="false">U322*(1-V322)</f>
        <v>2847.15</v>
      </c>
      <c r="X322" s="5" t="n">
        <f aca="false">W322+IF(O322="DEL0",0,Q322)</f>
        <v>2897.15</v>
      </c>
      <c r="Y322" s="0" t="str">
        <f aca="false">B322&amp;" "&amp;C322</f>
        <v>Kiran Singh</v>
      </c>
      <c r="Z322" s="0" t="str">
        <f aca="false">IF(T322&lt;P322,"BeforeTime",IF(T322=P322,"Intime","Late"))</f>
        <v>Intime</v>
      </c>
      <c r="AA322" s="0" t="str">
        <f aca="false">TEXT(J322,"mmm")</f>
        <v>Feb</v>
      </c>
      <c r="AB322" s="0" t="e">
        <f aca="false">xlookup(L322,Products!A:A,Products!B:B,"")</f>
        <v>#NAME?</v>
      </c>
    </row>
    <row r="323" customFormat="false" ht="15" hidden="false" customHeight="false" outlineLevel="0" collapsed="false">
      <c r="A323" s="0" t="s">
        <v>1613</v>
      </c>
      <c r="B323" s="0" t="s">
        <v>86</v>
      </c>
      <c r="C323" s="0" t="s">
        <v>261</v>
      </c>
      <c r="D323" s="0" t="n">
        <v>39</v>
      </c>
      <c r="E323" s="0" t="s">
        <v>48</v>
      </c>
      <c r="F323" s="0" t="s">
        <v>248</v>
      </c>
      <c r="G323" s="0" t="s">
        <v>1614</v>
      </c>
      <c r="H323" s="0" t="s">
        <v>1226</v>
      </c>
      <c r="I323" s="0" t="s">
        <v>1615</v>
      </c>
      <c r="J323" s="4" t="n">
        <v>45933</v>
      </c>
      <c r="K323" s="0" t="s">
        <v>215</v>
      </c>
      <c r="L323" s="0" t="s">
        <v>110</v>
      </c>
      <c r="M323" s="5" t="n">
        <v>1499</v>
      </c>
      <c r="N323" s="0" t="n">
        <v>3</v>
      </c>
      <c r="O323" s="0" t="s">
        <v>91</v>
      </c>
      <c r="P323" s="0" t="n">
        <v>3</v>
      </c>
      <c r="Q323" s="5" t="n">
        <v>90</v>
      </c>
      <c r="R323" s="4" t="n">
        <v>45936</v>
      </c>
      <c r="S323" s="0" t="s">
        <v>1616</v>
      </c>
      <c r="T323" s="0" t="n">
        <f aca="false">R323-J323</f>
        <v>3</v>
      </c>
      <c r="U323" s="5" t="n">
        <f aca="false">M323*N323</f>
        <v>4497</v>
      </c>
      <c r="V323" s="6" t="n">
        <f aca="false">IF(O323="FLAT5",5%,IF(O323="FLAT10",10%,IF(O323="FLAT15",15%,IF(O323="FLAT20",20%,0))))</f>
        <v>0.1</v>
      </c>
      <c r="W323" s="5" t="n">
        <f aca="false">U323*(1-V323)</f>
        <v>4047.3</v>
      </c>
      <c r="X323" s="5" t="n">
        <f aca="false">W323+IF(O323="DEL0",0,Q323)</f>
        <v>4137.3</v>
      </c>
      <c r="Y323" s="0" t="str">
        <f aca="false">B323&amp;" "&amp;C323</f>
        <v>Rahul Kumar</v>
      </c>
      <c r="Z323" s="0" t="str">
        <f aca="false">IF(T323&lt;P323,"BeforeTime",IF(T323=P323,"Intime","Late"))</f>
        <v>Intime</v>
      </c>
      <c r="AA323" s="0" t="str">
        <f aca="false">TEXT(J323,"mmm")</f>
        <v>Oct</v>
      </c>
      <c r="AB323" s="0" t="e">
        <f aca="false">xlookup(L323,Products!A:A,Products!B:B,"")</f>
        <v>#NAME?</v>
      </c>
    </row>
    <row r="324" customFormat="false" ht="15" hidden="false" customHeight="false" outlineLevel="0" collapsed="false">
      <c r="A324" s="0" t="s">
        <v>146</v>
      </c>
      <c r="B324" s="0" t="s">
        <v>139</v>
      </c>
      <c r="C324" s="0" t="s">
        <v>58</v>
      </c>
      <c r="D324" s="0" t="n">
        <v>57</v>
      </c>
      <c r="E324" s="0" t="s">
        <v>36</v>
      </c>
      <c r="F324" s="0" t="s">
        <v>114</v>
      </c>
      <c r="G324" s="0" t="s">
        <v>1617</v>
      </c>
      <c r="H324" s="0" t="s">
        <v>1618</v>
      </c>
      <c r="I324" s="0" t="s">
        <v>1619</v>
      </c>
      <c r="J324" s="4" t="n">
        <v>46014</v>
      </c>
      <c r="K324" s="0" t="s">
        <v>1577</v>
      </c>
      <c r="L324" s="0" t="s">
        <v>42</v>
      </c>
      <c r="M324" s="5" t="n">
        <v>2199</v>
      </c>
      <c r="N324" s="0" t="n">
        <v>1</v>
      </c>
      <c r="O324" s="0" t="s">
        <v>91</v>
      </c>
      <c r="P324" s="0" t="n">
        <v>6</v>
      </c>
      <c r="Q324" s="5" t="n">
        <v>75</v>
      </c>
      <c r="R324" s="4" t="n">
        <v>46020</v>
      </c>
      <c r="S324" s="0" t="s">
        <v>479</v>
      </c>
      <c r="T324" s="0" t="n">
        <f aca="false">R324-J324</f>
        <v>6</v>
      </c>
      <c r="U324" s="5" t="n">
        <f aca="false">M324*N324</f>
        <v>2199</v>
      </c>
      <c r="V324" s="6" t="n">
        <f aca="false">IF(O324="FLAT5",5%,IF(O324="FLAT10",10%,IF(O324="FLAT15",15%,IF(O324="FLAT20",20%,0))))</f>
        <v>0.1</v>
      </c>
      <c r="W324" s="5" t="n">
        <f aca="false">U324*(1-V324)</f>
        <v>1979.1</v>
      </c>
      <c r="X324" s="5" t="n">
        <f aca="false">W324+IF(O324="DEL0",0,Q324)</f>
        <v>2054.1</v>
      </c>
      <c r="Y324" s="0" t="str">
        <f aca="false">B324&amp;" "&amp;C324</f>
        <v>Aarav Iyer</v>
      </c>
      <c r="Z324" s="0" t="str">
        <f aca="false">IF(T324&lt;P324,"BeforeTime",IF(T324=P324,"Intime","Late"))</f>
        <v>Intime</v>
      </c>
      <c r="AA324" s="0" t="str">
        <f aca="false">TEXT(J324,"mmm")</f>
        <v>Dec</v>
      </c>
      <c r="AB324" s="0" t="e">
        <f aca="false">xlookup(L324,Products!A:A,Products!B:B,"")</f>
        <v>#NAME?</v>
      </c>
    </row>
    <row r="325" customFormat="false" ht="15" hidden="false" customHeight="false" outlineLevel="0" collapsed="false">
      <c r="A325" s="0" t="s">
        <v>1568</v>
      </c>
      <c r="B325" s="0" t="s">
        <v>67</v>
      </c>
      <c r="C325" s="0" t="s">
        <v>261</v>
      </c>
      <c r="D325" s="0" t="n">
        <v>21</v>
      </c>
      <c r="E325" s="0" t="s">
        <v>48</v>
      </c>
      <c r="F325" s="0" t="s">
        <v>160</v>
      </c>
      <c r="G325" s="0" t="s">
        <v>1620</v>
      </c>
      <c r="H325" s="0" t="s">
        <v>39</v>
      </c>
      <c r="I325" s="0" t="s">
        <v>1621</v>
      </c>
      <c r="J325" s="4" t="n">
        <v>46021</v>
      </c>
      <c r="K325" s="0" t="s">
        <v>41</v>
      </c>
      <c r="L325" s="0" t="s">
        <v>100</v>
      </c>
      <c r="M325" s="5" t="n">
        <v>999</v>
      </c>
      <c r="N325" s="0" t="n">
        <v>4</v>
      </c>
      <c r="O325" s="0" t="s">
        <v>101</v>
      </c>
      <c r="P325" s="0" t="n">
        <v>2</v>
      </c>
      <c r="Q325" s="5" t="n">
        <v>90</v>
      </c>
      <c r="R325" s="4" t="n">
        <v>46027</v>
      </c>
      <c r="S325" s="0" t="s">
        <v>1489</v>
      </c>
      <c r="T325" s="0" t="n">
        <f aca="false">R325-J325</f>
        <v>6</v>
      </c>
      <c r="U325" s="5" t="n">
        <f aca="false">M325*N325</f>
        <v>3996</v>
      </c>
      <c r="V325" s="6" t="n">
        <f aca="false">IF(O325="FLAT5",5%,IF(O325="FLAT10",10%,IF(O325="FLAT15",15%,IF(O325="FLAT20",20%,0))))</f>
        <v>0.15</v>
      </c>
      <c r="W325" s="5" t="n">
        <f aca="false">U325*(1-V325)</f>
        <v>3396.6</v>
      </c>
      <c r="X325" s="5" t="n">
        <f aca="false">W325+IF(O325="DEL0",0,Q325)</f>
        <v>3486.6</v>
      </c>
      <c r="Y325" s="0" t="str">
        <f aca="false">B325&amp;" "&amp;C325</f>
        <v>Priya Kumar</v>
      </c>
      <c r="Z325" s="0" t="str">
        <f aca="false">IF(T325&lt;P325,"BeforeTime",IF(T325=P325,"Intime","Late"))</f>
        <v>Late</v>
      </c>
      <c r="AA325" s="0" t="str">
        <f aca="false">TEXT(J325,"mmm")</f>
        <v>Dec</v>
      </c>
      <c r="AB325" s="0" t="e">
        <f aca="false">xlookup(L325,Products!A:A,Products!B:B,"")</f>
        <v>#NAME?</v>
      </c>
    </row>
    <row r="326" customFormat="false" ht="15" hidden="false" customHeight="false" outlineLevel="0" collapsed="false">
      <c r="A326" s="0" t="s">
        <v>1108</v>
      </c>
      <c r="B326" s="0" t="s">
        <v>139</v>
      </c>
      <c r="C326" s="0" t="s">
        <v>210</v>
      </c>
      <c r="D326" s="0" t="n">
        <v>35</v>
      </c>
      <c r="E326" s="0" t="s">
        <v>48</v>
      </c>
      <c r="F326" s="0" t="s">
        <v>59</v>
      </c>
      <c r="G326" s="0" t="s">
        <v>1622</v>
      </c>
      <c r="H326" s="0" t="s">
        <v>985</v>
      </c>
      <c r="I326" s="0" t="s">
        <v>1623</v>
      </c>
      <c r="J326" s="4" t="n">
        <v>45667</v>
      </c>
      <c r="K326" s="0" t="s">
        <v>41</v>
      </c>
      <c r="L326" s="0" t="s">
        <v>53</v>
      </c>
      <c r="M326" s="5" t="n">
        <v>2499</v>
      </c>
      <c r="N326" s="0" t="n">
        <v>4</v>
      </c>
      <c r="O326" s="0" t="s">
        <v>54</v>
      </c>
      <c r="P326" s="0" t="n">
        <v>4</v>
      </c>
      <c r="Q326" s="5" t="n">
        <v>0</v>
      </c>
      <c r="R326" s="4" t="n">
        <v>45671</v>
      </c>
      <c r="S326" s="0" t="s">
        <v>1379</v>
      </c>
      <c r="T326" s="0" t="n">
        <f aca="false">R326-J326</f>
        <v>4</v>
      </c>
      <c r="U326" s="5" t="n">
        <f aca="false">M326*N326</f>
        <v>9996</v>
      </c>
      <c r="V326" s="6" t="n">
        <f aca="false">IF(O326="FLAT5",5%,IF(O326="FLAT10",10%,IF(O326="FLAT15",15%,IF(O326="FLAT20",20%,0))))</f>
        <v>0</v>
      </c>
      <c r="W326" s="5" t="n">
        <f aca="false">U326*(1-V326)</f>
        <v>9996</v>
      </c>
      <c r="X326" s="5" t="n">
        <f aca="false">W326+IF(O326="DEL0",0,Q326)</f>
        <v>9996</v>
      </c>
      <c r="Y326" s="0" t="str">
        <f aca="false">B326&amp;" "&amp;C326</f>
        <v>Aarav Reddy</v>
      </c>
      <c r="Z326" s="0" t="str">
        <f aca="false">IF(T326&lt;P326,"BeforeTime",IF(T326=P326,"Intime","Late"))</f>
        <v>Intime</v>
      </c>
      <c r="AA326" s="0" t="str">
        <f aca="false">TEXT(J326,"mmm")</f>
        <v>Jan</v>
      </c>
      <c r="AB326" s="0" t="e">
        <f aca="false">xlookup(L326,Products!A:A,Products!B:B,"")</f>
        <v>#NAME?</v>
      </c>
    </row>
    <row r="327" customFormat="false" ht="15" hidden="false" customHeight="false" outlineLevel="0" collapsed="false">
      <c r="A327" s="0" t="s">
        <v>316</v>
      </c>
      <c r="B327" s="0" t="s">
        <v>174</v>
      </c>
      <c r="C327" s="0" t="s">
        <v>181</v>
      </c>
      <c r="D327" s="0" t="n">
        <v>44</v>
      </c>
      <c r="E327" s="0" t="s">
        <v>36</v>
      </c>
      <c r="F327" s="0" t="s">
        <v>77</v>
      </c>
      <c r="G327" s="0" t="s">
        <v>1624</v>
      </c>
      <c r="H327" s="0" t="s">
        <v>539</v>
      </c>
      <c r="I327" s="0" t="s">
        <v>1625</v>
      </c>
      <c r="J327" s="4" t="n">
        <v>45859</v>
      </c>
      <c r="K327" s="0" t="s">
        <v>63</v>
      </c>
      <c r="L327" s="0" t="s">
        <v>72</v>
      </c>
      <c r="M327" s="5" t="n">
        <v>1299</v>
      </c>
      <c r="N327" s="0" t="n">
        <v>2</v>
      </c>
      <c r="O327" s="0" t="s">
        <v>83</v>
      </c>
      <c r="P327" s="0" t="n">
        <v>7</v>
      </c>
      <c r="Q327" s="5" t="n">
        <v>75</v>
      </c>
      <c r="R327" s="4" t="n">
        <v>45865</v>
      </c>
      <c r="S327" s="0" t="s">
        <v>1594</v>
      </c>
      <c r="T327" s="0" t="n">
        <f aca="false">R327-J327</f>
        <v>6</v>
      </c>
      <c r="U327" s="5" t="n">
        <f aca="false">M327*N327</f>
        <v>2598</v>
      </c>
      <c r="V327" s="6" t="n">
        <f aca="false">IF(O327="FLAT5",5%,IF(O327="FLAT10",10%,IF(O327="FLAT15",15%,IF(O327="FLAT20",20%,0))))</f>
        <v>0.05</v>
      </c>
      <c r="W327" s="5" t="n">
        <f aca="false">U327*(1-V327)</f>
        <v>2468.1</v>
      </c>
      <c r="X327" s="5" t="n">
        <f aca="false">W327+IF(O327="DEL0",0,Q327)</f>
        <v>2543.1</v>
      </c>
      <c r="Y327" s="0" t="str">
        <f aca="false">B327&amp;" "&amp;C327</f>
        <v>Ananya Gupta</v>
      </c>
      <c r="Z327" s="0" t="str">
        <f aca="false">IF(T327&lt;P327,"BeforeTime",IF(T327=P327,"Intime","Late"))</f>
        <v>BeforeTime</v>
      </c>
      <c r="AA327" s="0" t="str">
        <f aca="false">TEXT(J327,"mmm")</f>
        <v>Jul</v>
      </c>
      <c r="AB327" s="0" t="e">
        <f aca="false">xlookup(L327,Products!A:A,Products!B:B,"")</f>
        <v>#NAME?</v>
      </c>
    </row>
    <row r="328" customFormat="false" ht="15" hidden="false" customHeight="false" outlineLevel="0" collapsed="false">
      <c r="A328" s="0" t="s">
        <v>138</v>
      </c>
      <c r="B328" s="0" t="s">
        <v>282</v>
      </c>
      <c r="C328" s="0" t="s">
        <v>123</v>
      </c>
      <c r="D328" s="0" t="n">
        <v>56</v>
      </c>
      <c r="E328" s="0" t="s">
        <v>36</v>
      </c>
      <c r="F328" s="0" t="s">
        <v>160</v>
      </c>
      <c r="G328" s="0" t="s">
        <v>1626</v>
      </c>
      <c r="H328" s="0" t="s">
        <v>736</v>
      </c>
      <c r="I328" s="0" t="s">
        <v>1627</v>
      </c>
      <c r="J328" s="4" t="n">
        <v>45725</v>
      </c>
      <c r="K328" s="0" t="s">
        <v>1628</v>
      </c>
      <c r="L328" s="0" t="s">
        <v>72</v>
      </c>
      <c r="M328" s="5" t="n">
        <v>1299</v>
      </c>
      <c r="N328" s="0" t="n">
        <v>3</v>
      </c>
      <c r="O328" s="0" t="s">
        <v>101</v>
      </c>
      <c r="P328" s="0" t="n">
        <v>3</v>
      </c>
      <c r="Q328" s="5" t="n">
        <v>90</v>
      </c>
      <c r="R328" s="4" t="n">
        <v>45728</v>
      </c>
      <c r="S328" s="0" t="s">
        <v>781</v>
      </c>
      <c r="T328" s="0" t="n">
        <f aca="false">R328-J328</f>
        <v>3</v>
      </c>
      <c r="U328" s="5" t="n">
        <f aca="false">M328*N328</f>
        <v>3897</v>
      </c>
      <c r="V328" s="6" t="n">
        <f aca="false">IF(O328="FLAT5",5%,IF(O328="FLAT10",10%,IF(O328="FLAT15",15%,IF(O328="FLAT20",20%,0))))</f>
        <v>0.15</v>
      </c>
      <c r="W328" s="5" t="n">
        <f aca="false">U328*(1-V328)</f>
        <v>3312.45</v>
      </c>
      <c r="X328" s="5" t="n">
        <f aca="false">W328+IF(O328="DEL0",0,Q328)</f>
        <v>3402.45</v>
      </c>
      <c r="Y328" s="0" t="str">
        <f aca="false">B328&amp;" "&amp;C328</f>
        <v>Nisha Nair</v>
      </c>
      <c r="Z328" s="0" t="str">
        <f aca="false">IF(T328&lt;P328,"BeforeTime",IF(T328=P328,"Intime","Late"))</f>
        <v>Intime</v>
      </c>
      <c r="AA328" s="0" t="str">
        <f aca="false">TEXT(J328,"mmm")</f>
        <v>Mar</v>
      </c>
      <c r="AB328" s="0" t="e">
        <f aca="false">xlookup(L328,Products!A:A,Products!B:B,"")</f>
        <v>#NAME?</v>
      </c>
    </row>
    <row r="329" customFormat="false" ht="15" hidden="false" customHeight="false" outlineLevel="0" collapsed="false">
      <c r="A329" s="0" t="s">
        <v>1246</v>
      </c>
      <c r="B329" s="0" t="s">
        <v>269</v>
      </c>
      <c r="C329" s="0" t="s">
        <v>195</v>
      </c>
      <c r="D329" s="0" t="n">
        <v>47</v>
      </c>
      <c r="E329" s="0" t="s">
        <v>36</v>
      </c>
      <c r="F329" s="0" t="s">
        <v>124</v>
      </c>
      <c r="G329" s="0" t="s">
        <v>1629</v>
      </c>
      <c r="H329" s="0" t="s">
        <v>1605</v>
      </c>
      <c r="I329" s="0" t="s">
        <v>1630</v>
      </c>
      <c r="J329" s="4" t="n">
        <v>45930</v>
      </c>
      <c r="K329" s="0" t="s">
        <v>1631</v>
      </c>
      <c r="L329" s="0" t="s">
        <v>42</v>
      </c>
      <c r="M329" s="5" t="n">
        <v>2199</v>
      </c>
      <c r="N329" s="0" t="n">
        <v>3</v>
      </c>
      <c r="O329" s="0" t="s">
        <v>83</v>
      </c>
      <c r="P329" s="0" t="n">
        <v>7</v>
      </c>
      <c r="Q329" s="5" t="n">
        <v>50</v>
      </c>
      <c r="R329" s="4" t="n">
        <v>45933</v>
      </c>
      <c r="S329" s="0" t="s">
        <v>1075</v>
      </c>
      <c r="T329" s="0" t="n">
        <f aca="false">R329-J329</f>
        <v>3</v>
      </c>
      <c r="U329" s="5" t="n">
        <f aca="false">M329*N329</f>
        <v>6597</v>
      </c>
      <c r="V329" s="6" t="n">
        <f aca="false">IF(O329="FLAT5",5%,IF(O329="FLAT10",10%,IF(O329="FLAT15",15%,IF(O329="FLAT20",20%,0))))</f>
        <v>0.05</v>
      </c>
      <c r="W329" s="5" t="n">
        <f aca="false">U329*(1-V329)</f>
        <v>6267.15</v>
      </c>
      <c r="X329" s="5" t="n">
        <f aca="false">W329+IF(O329="DEL0",0,Q329)</f>
        <v>6317.15</v>
      </c>
      <c r="Y329" s="0" t="str">
        <f aca="false">B329&amp;" "&amp;C329</f>
        <v>Varun Singh</v>
      </c>
      <c r="Z329" s="0" t="str">
        <f aca="false">IF(T329&lt;P329,"BeforeTime",IF(T329=P329,"Intime","Late"))</f>
        <v>BeforeTime</v>
      </c>
      <c r="AA329" s="0" t="str">
        <f aca="false">TEXT(J329,"mmm")</f>
        <v>Sep</v>
      </c>
      <c r="AB329" s="0" t="e">
        <f aca="false">xlookup(L329,Products!A:A,Products!B:B,"")</f>
        <v>#NAME?</v>
      </c>
    </row>
    <row r="330" customFormat="false" ht="15" hidden="false" customHeight="false" outlineLevel="0" collapsed="false">
      <c r="A330" s="0" t="s">
        <v>1632</v>
      </c>
      <c r="B330" s="0" t="s">
        <v>75</v>
      </c>
      <c r="C330" s="0" t="s">
        <v>195</v>
      </c>
      <c r="D330" s="0" t="n">
        <v>32</v>
      </c>
      <c r="E330" s="0" t="s">
        <v>36</v>
      </c>
      <c r="F330" s="0" t="s">
        <v>262</v>
      </c>
      <c r="G330" s="0" t="s">
        <v>1633</v>
      </c>
      <c r="H330" s="0" t="s">
        <v>1634</v>
      </c>
      <c r="I330" s="0" t="s">
        <v>1635</v>
      </c>
      <c r="J330" s="4" t="n">
        <v>45971</v>
      </c>
      <c r="K330" s="0" t="s">
        <v>1636</v>
      </c>
      <c r="L330" s="0" t="s">
        <v>42</v>
      </c>
      <c r="M330" s="5" t="n">
        <v>2199</v>
      </c>
      <c r="N330" s="0" t="n">
        <v>1</v>
      </c>
      <c r="O330" s="0" t="s">
        <v>54</v>
      </c>
      <c r="P330" s="0" t="n">
        <v>6</v>
      </c>
      <c r="Q330" s="5" t="n">
        <v>0</v>
      </c>
      <c r="R330" s="4" t="n">
        <v>45977</v>
      </c>
      <c r="S330" s="0" t="s">
        <v>253</v>
      </c>
      <c r="T330" s="0" t="n">
        <f aca="false">R330-J330</f>
        <v>6</v>
      </c>
      <c r="U330" s="5" t="n">
        <f aca="false">M330*N330</f>
        <v>2199</v>
      </c>
      <c r="V330" s="6" t="n">
        <f aca="false">IF(O330="FLAT5",5%,IF(O330="FLAT10",10%,IF(O330="FLAT15",15%,IF(O330="FLAT20",20%,0))))</f>
        <v>0</v>
      </c>
      <c r="W330" s="5" t="n">
        <f aca="false">U330*(1-V330)</f>
        <v>2199</v>
      </c>
      <c r="X330" s="5" t="n">
        <f aca="false">W330+IF(O330="DEL0",0,Q330)</f>
        <v>2199</v>
      </c>
      <c r="Y330" s="0" t="str">
        <f aca="false">B330&amp;" "&amp;C330</f>
        <v>Vikram Singh</v>
      </c>
      <c r="Z330" s="0" t="str">
        <f aca="false">IF(T330&lt;P330,"BeforeTime",IF(T330=P330,"Intime","Late"))</f>
        <v>Intime</v>
      </c>
      <c r="AA330" s="0" t="str">
        <f aca="false">TEXT(J330,"mmm")</f>
        <v>Nov</v>
      </c>
      <c r="AB330" s="0" t="e">
        <f aca="false">xlookup(L330,Products!A:A,Products!B:B,"")</f>
        <v>#NAME?</v>
      </c>
    </row>
    <row r="331" customFormat="false" ht="15" hidden="false" customHeight="false" outlineLevel="0" collapsed="false">
      <c r="A331" s="0" t="s">
        <v>1181</v>
      </c>
      <c r="B331" s="0" t="s">
        <v>139</v>
      </c>
      <c r="C331" s="0" t="s">
        <v>417</v>
      </c>
      <c r="D331" s="0" t="n">
        <v>25</v>
      </c>
      <c r="E331" s="0" t="s">
        <v>48</v>
      </c>
      <c r="F331" s="0" t="s">
        <v>262</v>
      </c>
      <c r="G331" s="0" t="s">
        <v>1637</v>
      </c>
      <c r="H331" s="0" t="s">
        <v>88</v>
      </c>
      <c r="I331" s="0" t="s">
        <v>1638</v>
      </c>
      <c r="J331" s="4" t="n">
        <v>45849</v>
      </c>
      <c r="K331" s="0" t="s">
        <v>1639</v>
      </c>
      <c r="L331" s="0" t="s">
        <v>240</v>
      </c>
      <c r="M331" s="5" t="n">
        <v>4999</v>
      </c>
      <c r="N331" s="0" t="n">
        <v>4</v>
      </c>
      <c r="O331" s="0" t="s">
        <v>54</v>
      </c>
      <c r="P331" s="0" t="n">
        <v>3</v>
      </c>
      <c r="Q331" s="5" t="n">
        <v>0</v>
      </c>
      <c r="R331" s="4" t="n">
        <v>45856</v>
      </c>
      <c r="S331" s="0" t="s">
        <v>1640</v>
      </c>
      <c r="T331" s="0" t="n">
        <f aca="false">R331-J331</f>
        <v>7</v>
      </c>
      <c r="U331" s="5" t="n">
        <f aca="false">M331*N331</f>
        <v>19996</v>
      </c>
      <c r="V331" s="6" t="n">
        <f aca="false">IF(O331="FLAT5",5%,IF(O331="FLAT10",10%,IF(O331="FLAT15",15%,IF(O331="FLAT20",20%,0))))</f>
        <v>0</v>
      </c>
      <c r="W331" s="5" t="n">
        <f aca="false">U331*(1-V331)</f>
        <v>19996</v>
      </c>
      <c r="X331" s="5" t="n">
        <f aca="false">W331+IF(O331="DEL0",0,Q331)</f>
        <v>19996</v>
      </c>
      <c r="Y331" s="0" t="str">
        <f aca="false">B331&amp;" "&amp;C331</f>
        <v>Aarav Mehta</v>
      </c>
      <c r="Z331" s="0" t="str">
        <f aca="false">IF(T331&lt;P331,"BeforeTime",IF(T331=P331,"Intime","Late"))</f>
        <v>Late</v>
      </c>
      <c r="AA331" s="0" t="str">
        <f aca="false">TEXT(J331,"mmm")</f>
        <v>Jul</v>
      </c>
      <c r="AB331" s="0" t="e">
        <f aca="false">xlookup(L331,Products!A:A,Products!B:B,"")</f>
        <v>#NAME?</v>
      </c>
    </row>
    <row r="332" customFormat="false" ht="15" hidden="false" customHeight="false" outlineLevel="0" collapsed="false">
      <c r="A332" s="0" t="s">
        <v>222</v>
      </c>
      <c r="B332" s="0" t="s">
        <v>139</v>
      </c>
      <c r="C332" s="0" t="s">
        <v>181</v>
      </c>
      <c r="D332" s="0" t="n">
        <v>46</v>
      </c>
      <c r="E332" s="0" t="s">
        <v>36</v>
      </c>
      <c r="F332" s="0" t="s">
        <v>37</v>
      </c>
      <c r="G332" s="0" t="s">
        <v>1641</v>
      </c>
      <c r="H332" s="0" t="s">
        <v>1642</v>
      </c>
      <c r="I332" s="0" t="s">
        <v>1643</v>
      </c>
      <c r="J332" s="4" t="n">
        <v>45882</v>
      </c>
      <c r="K332" s="0" t="s">
        <v>704</v>
      </c>
      <c r="L332" s="0" t="s">
        <v>100</v>
      </c>
      <c r="M332" s="5" t="n">
        <v>999</v>
      </c>
      <c r="N332" s="0" t="n">
        <v>1</v>
      </c>
      <c r="O332" s="0" t="s">
        <v>83</v>
      </c>
      <c r="P332" s="0" t="n">
        <v>6</v>
      </c>
      <c r="Q332" s="5" t="n">
        <v>60</v>
      </c>
      <c r="R332" s="4" t="n">
        <v>45888</v>
      </c>
      <c r="S332" s="0" t="s">
        <v>1644</v>
      </c>
      <c r="T332" s="0" t="n">
        <f aca="false">R332-J332</f>
        <v>6</v>
      </c>
      <c r="U332" s="5" t="n">
        <f aca="false">M332*N332</f>
        <v>999</v>
      </c>
      <c r="V332" s="6" t="n">
        <f aca="false">IF(O332="FLAT5",5%,IF(O332="FLAT10",10%,IF(O332="FLAT15",15%,IF(O332="FLAT20",20%,0))))</f>
        <v>0.05</v>
      </c>
      <c r="W332" s="5" t="n">
        <f aca="false">U332*(1-V332)</f>
        <v>949.05</v>
      </c>
      <c r="X332" s="5" t="n">
        <f aca="false">W332+IF(O332="DEL0",0,Q332)</f>
        <v>1009.05</v>
      </c>
      <c r="Y332" s="0" t="str">
        <f aca="false">B332&amp;" "&amp;C332</f>
        <v>Aarav Gupta</v>
      </c>
      <c r="Z332" s="0" t="str">
        <f aca="false">IF(T332&lt;P332,"BeforeTime",IF(T332=P332,"Intime","Late"))</f>
        <v>Intime</v>
      </c>
      <c r="AA332" s="0" t="str">
        <f aca="false">TEXT(J332,"mmm")</f>
        <v>Aug</v>
      </c>
      <c r="AB332" s="0" t="e">
        <f aca="false">xlookup(L332,Products!A:A,Products!B:B,"")</f>
        <v>#NAME?</v>
      </c>
    </row>
    <row r="333" customFormat="false" ht="15" hidden="false" customHeight="false" outlineLevel="0" collapsed="false">
      <c r="A333" s="0" t="s">
        <v>1394</v>
      </c>
      <c r="B333" s="0" t="s">
        <v>294</v>
      </c>
      <c r="C333" s="0" t="s">
        <v>229</v>
      </c>
      <c r="D333" s="0" t="n">
        <v>45</v>
      </c>
      <c r="E333" s="0" t="s">
        <v>36</v>
      </c>
      <c r="F333" s="0" t="s">
        <v>77</v>
      </c>
      <c r="G333" s="0" t="s">
        <v>1645</v>
      </c>
      <c r="H333" s="0" t="s">
        <v>1428</v>
      </c>
      <c r="I333" s="0" t="s">
        <v>1646</v>
      </c>
      <c r="J333" s="4" t="n">
        <v>45679</v>
      </c>
      <c r="K333" s="0" t="s">
        <v>1647</v>
      </c>
      <c r="L333" s="0" t="s">
        <v>129</v>
      </c>
      <c r="M333" s="5" t="n">
        <v>2999</v>
      </c>
      <c r="N333" s="0" t="n">
        <v>4</v>
      </c>
      <c r="O333" s="0" t="s">
        <v>101</v>
      </c>
      <c r="P333" s="0" t="n">
        <v>3</v>
      </c>
      <c r="Q333" s="5" t="n">
        <v>75</v>
      </c>
      <c r="R333" s="4" t="n">
        <v>45682</v>
      </c>
      <c r="S333" s="0" t="s">
        <v>1648</v>
      </c>
      <c r="T333" s="0" t="n">
        <f aca="false">R333-J333</f>
        <v>3</v>
      </c>
      <c r="U333" s="5" t="n">
        <f aca="false">M333*N333</f>
        <v>11996</v>
      </c>
      <c r="V333" s="6" t="n">
        <f aca="false">IF(O333="FLAT5",5%,IF(O333="FLAT10",10%,IF(O333="FLAT15",15%,IF(O333="FLAT20",20%,0))))</f>
        <v>0.15</v>
      </c>
      <c r="W333" s="5" t="n">
        <f aca="false">U333*(1-V333)</f>
        <v>10196.6</v>
      </c>
      <c r="X333" s="5" t="n">
        <f aca="false">W333+IF(O333="DEL0",0,Q333)</f>
        <v>10271.6</v>
      </c>
      <c r="Y333" s="0" t="str">
        <f aca="false">B333&amp;" "&amp;C333</f>
        <v>Aditya Joshi</v>
      </c>
      <c r="Z333" s="0" t="str">
        <f aca="false">IF(T333&lt;P333,"BeforeTime",IF(T333=P333,"Intime","Late"))</f>
        <v>Intime</v>
      </c>
      <c r="AA333" s="0" t="str">
        <f aca="false">TEXT(J333,"mmm")</f>
        <v>Jan</v>
      </c>
      <c r="AB333" s="0" t="e">
        <f aca="false">xlookup(L333,Products!A:A,Products!B:B,"")</f>
        <v>#NAME?</v>
      </c>
    </row>
    <row r="334" customFormat="false" ht="15" hidden="false" customHeight="false" outlineLevel="0" collapsed="false">
      <c r="A334" s="0" t="s">
        <v>1649</v>
      </c>
      <c r="B334" s="0" t="s">
        <v>188</v>
      </c>
      <c r="C334" s="0" t="s">
        <v>368</v>
      </c>
      <c r="D334" s="0" t="n">
        <v>48</v>
      </c>
      <c r="E334" s="0" t="s">
        <v>48</v>
      </c>
      <c r="F334" s="0" t="s">
        <v>114</v>
      </c>
      <c r="G334" s="0" t="s">
        <v>1650</v>
      </c>
      <c r="H334" s="0" t="s">
        <v>1651</v>
      </c>
      <c r="I334" s="0" t="s">
        <v>1652</v>
      </c>
      <c r="J334" s="4" t="n">
        <v>45808</v>
      </c>
      <c r="K334" s="0" t="s">
        <v>111</v>
      </c>
      <c r="L334" s="0" t="s">
        <v>72</v>
      </c>
      <c r="M334" s="5" t="n">
        <v>1299</v>
      </c>
      <c r="N334" s="0" t="n">
        <v>4</v>
      </c>
      <c r="O334" s="0" t="s">
        <v>83</v>
      </c>
      <c r="P334" s="0" t="n">
        <v>6</v>
      </c>
      <c r="Q334" s="5" t="n">
        <v>75</v>
      </c>
      <c r="R334" s="4" t="n">
        <v>45816</v>
      </c>
      <c r="S334" s="0" t="s">
        <v>1653</v>
      </c>
      <c r="T334" s="0" t="n">
        <f aca="false">R334-J334</f>
        <v>8</v>
      </c>
      <c r="U334" s="5" t="n">
        <f aca="false">M334*N334</f>
        <v>5196</v>
      </c>
      <c r="V334" s="6" t="n">
        <f aca="false">IF(O334="FLAT5",5%,IF(O334="FLAT10",10%,IF(O334="FLAT15",15%,IF(O334="FLAT20",20%,0))))</f>
        <v>0.05</v>
      </c>
      <c r="W334" s="5" t="n">
        <f aca="false">U334*(1-V334)</f>
        <v>4936.2</v>
      </c>
      <c r="X334" s="5" t="n">
        <f aca="false">W334+IF(O334="DEL0",0,Q334)</f>
        <v>5011.2</v>
      </c>
      <c r="Y334" s="0" t="str">
        <f aca="false">B334&amp;" "&amp;C334</f>
        <v>Rohan Das</v>
      </c>
      <c r="Z334" s="0" t="str">
        <f aca="false">IF(T334&lt;P334,"BeforeTime",IF(T334=P334,"Intime","Late"))</f>
        <v>Late</v>
      </c>
      <c r="AA334" s="0" t="str">
        <f aca="false">TEXT(J334,"mmm")</f>
        <v>May</v>
      </c>
      <c r="AB334" s="0" t="e">
        <f aca="false">xlookup(L334,Products!A:A,Products!B:B,"")</f>
        <v>#NAME?</v>
      </c>
    </row>
    <row r="335" customFormat="false" ht="15" hidden="false" customHeight="false" outlineLevel="0" collapsed="false">
      <c r="A335" s="0" t="s">
        <v>1654</v>
      </c>
      <c r="B335" s="0" t="s">
        <v>582</v>
      </c>
      <c r="C335" s="0" t="s">
        <v>195</v>
      </c>
      <c r="D335" s="0" t="n">
        <v>45</v>
      </c>
      <c r="E335" s="0" t="s">
        <v>48</v>
      </c>
      <c r="F335" s="0" t="s">
        <v>59</v>
      </c>
      <c r="G335" s="0" t="s">
        <v>1655</v>
      </c>
      <c r="H335" s="0" t="s">
        <v>1656</v>
      </c>
      <c r="I335" s="0" t="s">
        <v>1657</v>
      </c>
      <c r="J335" s="4" t="n">
        <v>45960</v>
      </c>
      <c r="K335" s="0" t="s">
        <v>1360</v>
      </c>
      <c r="L335" s="0" t="s">
        <v>53</v>
      </c>
      <c r="M335" s="5" t="n">
        <v>2499</v>
      </c>
      <c r="N335" s="0" t="n">
        <v>1</v>
      </c>
      <c r="O335" s="0" t="s">
        <v>83</v>
      </c>
      <c r="P335" s="0" t="n">
        <v>7</v>
      </c>
      <c r="Q335" s="5" t="n">
        <v>40</v>
      </c>
      <c r="R335" s="4" t="n">
        <v>45971</v>
      </c>
      <c r="S335" s="0" t="s">
        <v>890</v>
      </c>
      <c r="T335" s="0" t="n">
        <f aca="false">R335-J335</f>
        <v>11</v>
      </c>
      <c r="U335" s="5" t="n">
        <f aca="false">M335*N335</f>
        <v>2499</v>
      </c>
      <c r="V335" s="6" t="n">
        <f aca="false">IF(O335="FLAT5",5%,IF(O335="FLAT10",10%,IF(O335="FLAT15",15%,IF(O335="FLAT20",20%,0))))</f>
        <v>0.05</v>
      </c>
      <c r="W335" s="5" t="n">
        <f aca="false">U335*(1-V335)</f>
        <v>2374.05</v>
      </c>
      <c r="X335" s="5" t="n">
        <f aca="false">W335+IF(O335="DEL0",0,Q335)</f>
        <v>2414.05</v>
      </c>
      <c r="Y335" s="0" t="str">
        <f aca="false">B335&amp;" "&amp;C335</f>
        <v>Kavya Singh</v>
      </c>
      <c r="Z335" s="0" t="str">
        <f aca="false">IF(T335&lt;P335,"BeforeTime",IF(T335=P335,"Intime","Late"))</f>
        <v>Late</v>
      </c>
      <c r="AA335" s="0" t="str">
        <f aca="false">TEXT(J335,"mmm")</f>
        <v>Oct</v>
      </c>
      <c r="AB335" s="0" t="e">
        <f aca="false">xlookup(L335,Products!A:A,Products!B:B,"")</f>
        <v>#NAME?</v>
      </c>
    </row>
    <row r="336" customFormat="false" ht="15" hidden="false" customHeight="false" outlineLevel="0" collapsed="false">
      <c r="A336" s="0" t="s">
        <v>242</v>
      </c>
      <c r="B336" s="0" t="s">
        <v>34</v>
      </c>
      <c r="C336" s="0" t="s">
        <v>105</v>
      </c>
      <c r="D336" s="0" t="n">
        <v>43</v>
      </c>
      <c r="E336" s="0" t="s">
        <v>36</v>
      </c>
      <c r="F336" s="0" t="s">
        <v>77</v>
      </c>
      <c r="G336" s="0" t="s">
        <v>1658</v>
      </c>
      <c r="H336" s="0" t="s">
        <v>1659</v>
      </c>
      <c r="I336" s="0" t="s">
        <v>1660</v>
      </c>
      <c r="J336" s="4" t="n">
        <v>45919</v>
      </c>
      <c r="K336" s="0" t="s">
        <v>1236</v>
      </c>
      <c r="L336" s="0" t="s">
        <v>82</v>
      </c>
      <c r="M336" s="5" t="n">
        <v>1199</v>
      </c>
      <c r="N336" s="0" t="n">
        <v>4</v>
      </c>
      <c r="O336" s="0" t="s">
        <v>54</v>
      </c>
      <c r="P336" s="0" t="n">
        <v>6</v>
      </c>
      <c r="Q336" s="5" t="n">
        <v>0</v>
      </c>
      <c r="R336" s="4" t="n">
        <v>45929</v>
      </c>
      <c r="S336" s="0" t="s">
        <v>1661</v>
      </c>
      <c r="T336" s="0" t="n">
        <f aca="false">R336-J336</f>
        <v>10</v>
      </c>
      <c r="U336" s="5" t="n">
        <f aca="false">M336*N336</f>
        <v>4796</v>
      </c>
      <c r="V336" s="6" t="n">
        <f aca="false">IF(O336="FLAT5",5%,IF(O336="FLAT10",10%,IF(O336="FLAT15",15%,IF(O336="FLAT20",20%,0))))</f>
        <v>0</v>
      </c>
      <c r="W336" s="5" t="n">
        <f aca="false">U336*(1-V336)</f>
        <v>4796</v>
      </c>
      <c r="X336" s="5" t="n">
        <f aca="false">W336+IF(O336="DEL0",0,Q336)</f>
        <v>4796</v>
      </c>
      <c r="Y336" s="0" t="str">
        <f aca="false">B336&amp;" "&amp;C336</f>
        <v>Diya Bhat</v>
      </c>
      <c r="Z336" s="0" t="str">
        <f aca="false">IF(T336&lt;P336,"BeforeTime",IF(T336=P336,"Intime","Late"))</f>
        <v>Late</v>
      </c>
      <c r="AA336" s="0" t="str">
        <f aca="false">TEXT(J336,"mmm")</f>
        <v>Sep</v>
      </c>
      <c r="AB336" s="0" t="e">
        <f aca="false">xlookup(L336,Products!A:A,Products!B:B,"")</f>
        <v>#NAME?</v>
      </c>
    </row>
    <row r="337" customFormat="false" ht="15" hidden="false" customHeight="false" outlineLevel="0" collapsed="false">
      <c r="A337" s="0" t="s">
        <v>1662</v>
      </c>
      <c r="B337" s="0" t="s">
        <v>209</v>
      </c>
      <c r="C337" s="0" t="s">
        <v>113</v>
      </c>
      <c r="D337" s="0" t="n">
        <v>29</v>
      </c>
      <c r="E337" s="0" t="s">
        <v>36</v>
      </c>
      <c r="F337" s="0" t="s">
        <v>202</v>
      </c>
      <c r="G337" s="0" t="s">
        <v>1663</v>
      </c>
      <c r="H337" s="0" t="s">
        <v>1248</v>
      </c>
      <c r="I337" s="0" t="s">
        <v>1664</v>
      </c>
      <c r="J337" s="4" t="n">
        <v>45886</v>
      </c>
      <c r="K337" s="0" t="s">
        <v>1665</v>
      </c>
      <c r="L337" s="0" t="s">
        <v>136</v>
      </c>
      <c r="M337" s="5" t="n">
        <v>1799</v>
      </c>
      <c r="N337" s="0" t="n">
        <v>3</v>
      </c>
      <c r="O337" s="0" t="s">
        <v>91</v>
      </c>
      <c r="P337" s="0" t="n">
        <v>4</v>
      </c>
      <c r="Q337" s="5" t="n">
        <v>40</v>
      </c>
      <c r="R337" s="4" t="n">
        <v>45890</v>
      </c>
      <c r="S337" s="0" t="s">
        <v>1612</v>
      </c>
      <c r="T337" s="0" t="n">
        <f aca="false">R337-J337</f>
        <v>4</v>
      </c>
      <c r="U337" s="5" t="n">
        <f aca="false">M337*N337</f>
        <v>5397</v>
      </c>
      <c r="V337" s="6" t="n">
        <f aca="false">IF(O337="FLAT5",5%,IF(O337="FLAT10",10%,IF(O337="FLAT15",15%,IF(O337="FLAT20",20%,0))))</f>
        <v>0.1</v>
      </c>
      <c r="W337" s="5" t="n">
        <f aca="false">U337*(1-V337)</f>
        <v>4857.3</v>
      </c>
      <c r="X337" s="5" t="n">
        <f aca="false">W337+IF(O337="DEL0",0,Q337)</f>
        <v>4897.3</v>
      </c>
      <c r="Y337" s="0" t="str">
        <f aca="false">B337&amp;" "&amp;C337</f>
        <v>Ishaan Rao</v>
      </c>
      <c r="Z337" s="0" t="str">
        <f aca="false">IF(T337&lt;P337,"BeforeTime",IF(T337=P337,"Intime","Late"))</f>
        <v>Intime</v>
      </c>
      <c r="AA337" s="0" t="str">
        <f aca="false">TEXT(J337,"mmm")</f>
        <v>Aug</v>
      </c>
      <c r="AB337" s="0" t="e">
        <f aca="false">xlookup(L337,Products!A:A,Products!B:B,"")</f>
        <v>#NAME?</v>
      </c>
    </row>
    <row r="338" customFormat="false" ht="15" hidden="false" customHeight="false" outlineLevel="0" collapsed="false">
      <c r="A338" s="0" t="s">
        <v>56</v>
      </c>
      <c r="B338" s="0" t="s">
        <v>394</v>
      </c>
      <c r="C338" s="0" t="s">
        <v>167</v>
      </c>
      <c r="D338" s="0" t="n">
        <v>51</v>
      </c>
      <c r="E338" s="0" t="s">
        <v>36</v>
      </c>
      <c r="F338" s="0" t="s">
        <v>124</v>
      </c>
      <c r="G338" s="0" t="s">
        <v>1666</v>
      </c>
      <c r="H338" s="0" t="s">
        <v>1667</v>
      </c>
      <c r="I338" s="0" t="s">
        <v>1668</v>
      </c>
      <c r="J338" s="4" t="n">
        <v>45995</v>
      </c>
      <c r="K338" s="0" t="s">
        <v>1669</v>
      </c>
      <c r="L338" s="0" t="s">
        <v>53</v>
      </c>
      <c r="M338" s="5" t="n">
        <v>2499</v>
      </c>
      <c r="N338" s="0" t="n">
        <v>2</v>
      </c>
      <c r="O338" s="0" t="s">
        <v>91</v>
      </c>
      <c r="P338" s="0" t="n">
        <v>5</v>
      </c>
      <c r="Q338" s="5" t="n">
        <v>75</v>
      </c>
      <c r="R338" s="4" t="n">
        <v>46000</v>
      </c>
      <c r="S338" s="0" t="s">
        <v>1670</v>
      </c>
      <c r="T338" s="0" t="n">
        <f aca="false">R338-J338</f>
        <v>5</v>
      </c>
      <c r="U338" s="5" t="n">
        <f aca="false">M338*N338</f>
        <v>4998</v>
      </c>
      <c r="V338" s="6" t="n">
        <f aca="false">IF(O338="FLAT5",5%,IF(O338="FLAT10",10%,IF(O338="FLAT15",15%,IF(O338="FLAT20",20%,0))))</f>
        <v>0.1</v>
      </c>
      <c r="W338" s="5" t="n">
        <f aca="false">U338*(1-V338)</f>
        <v>4498.2</v>
      </c>
      <c r="X338" s="5" t="n">
        <f aca="false">W338+IF(O338="DEL0",0,Q338)</f>
        <v>4573.2</v>
      </c>
      <c r="Y338" s="0" t="str">
        <f aca="false">B338&amp;" "&amp;C338</f>
        <v>Kiran Chowdhury</v>
      </c>
      <c r="Z338" s="0" t="str">
        <f aca="false">IF(T338&lt;P338,"BeforeTime",IF(T338=P338,"Intime","Late"))</f>
        <v>Intime</v>
      </c>
      <c r="AA338" s="0" t="str">
        <f aca="false">TEXT(J338,"mmm")</f>
        <v>Dec</v>
      </c>
      <c r="AB338" s="0" t="e">
        <f aca="false">xlookup(L338,Products!A:A,Products!B:B,"")</f>
        <v>#NAME?</v>
      </c>
    </row>
    <row r="339" customFormat="false" ht="15" hidden="false" customHeight="false" outlineLevel="0" collapsed="false">
      <c r="A339" s="0" t="s">
        <v>1364</v>
      </c>
      <c r="B339" s="0" t="s">
        <v>104</v>
      </c>
      <c r="C339" s="0" t="s">
        <v>47</v>
      </c>
      <c r="D339" s="0" t="n">
        <v>23</v>
      </c>
      <c r="E339" s="0" t="s">
        <v>36</v>
      </c>
      <c r="F339" s="0" t="s">
        <v>262</v>
      </c>
      <c r="G339" s="0" t="s">
        <v>1671</v>
      </c>
      <c r="H339" s="0" t="s">
        <v>825</v>
      </c>
      <c r="I339" s="0" t="s">
        <v>1672</v>
      </c>
      <c r="J339" s="4" t="n">
        <v>45674</v>
      </c>
      <c r="K339" s="0" t="s">
        <v>996</v>
      </c>
      <c r="L339" s="0" t="s">
        <v>110</v>
      </c>
      <c r="M339" s="5" t="n">
        <v>1499</v>
      </c>
      <c r="N339" s="0" t="n">
        <v>3</v>
      </c>
      <c r="O339" s="0" t="s">
        <v>83</v>
      </c>
      <c r="P339" s="0" t="n">
        <v>7</v>
      </c>
      <c r="Q339" s="5" t="n">
        <v>90</v>
      </c>
      <c r="R339" s="4" t="n">
        <v>45681</v>
      </c>
      <c r="S339" s="0" t="s">
        <v>885</v>
      </c>
      <c r="T339" s="0" t="n">
        <f aca="false">R339-J339</f>
        <v>7</v>
      </c>
      <c r="U339" s="5" t="n">
        <f aca="false">M339*N339</f>
        <v>4497</v>
      </c>
      <c r="V339" s="6" t="n">
        <f aca="false">IF(O339="FLAT5",5%,IF(O339="FLAT10",10%,IF(O339="FLAT15",15%,IF(O339="FLAT20",20%,0))))</f>
        <v>0.05</v>
      </c>
      <c r="W339" s="5" t="n">
        <f aca="false">U339*(1-V339)</f>
        <v>4272.15</v>
      </c>
      <c r="X339" s="5" t="n">
        <f aca="false">W339+IF(O339="DEL0",0,Q339)</f>
        <v>4362.15</v>
      </c>
      <c r="Y339" s="0" t="str">
        <f aca="false">B339&amp;" "&amp;C339</f>
        <v>Keerthi Verma</v>
      </c>
      <c r="Z339" s="0" t="str">
        <f aca="false">IF(T339&lt;P339,"BeforeTime",IF(T339=P339,"Intime","Late"))</f>
        <v>Intime</v>
      </c>
      <c r="AA339" s="0" t="str">
        <f aca="false">TEXT(J339,"mmm")</f>
        <v>Jan</v>
      </c>
      <c r="AB339" s="0" t="e">
        <f aca="false">xlookup(L339,Products!A:A,Products!B:B,"")</f>
        <v>#NAME?</v>
      </c>
    </row>
    <row r="340" customFormat="false" ht="15" hidden="false" customHeight="false" outlineLevel="0" collapsed="false">
      <c r="A340" s="0" t="s">
        <v>1673</v>
      </c>
      <c r="B340" s="0" t="s">
        <v>582</v>
      </c>
      <c r="C340" s="0" t="s">
        <v>368</v>
      </c>
      <c r="D340" s="0" t="n">
        <v>58</v>
      </c>
      <c r="E340" s="0" t="s">
        <v>36</v>
      </c>
      <c r="F340" s="0" t="s">
        <v>248</v>
      </c>
      <c r="G340" s="0" t="s">
        <v>1674</v>
      </c>
      <c r="H340" s="0" t="s">
        <v>277</v>
      </c>
      <c r="I340" s="0" t="s">
        <v>1675</v>
      </c>
      <c r="J340" s="4" t="n">
        <v>45705</v>
      </c>
      <c r="K340" s="0" t="s">
        <v>525</v>
      </c>
      <c r="L340" s="0" t="s">
        <v>82</v>
      </c>
      <c r="M340" s="5" t="n">
        <v>1199</v>
      </c>
      <c r="N340" s="0" t="n">
        <v>3</v>
      </c>
      <c r="O340" s="0" t="s">
        <v>259</v>
      </c>
      <c r="P340" s="0" t="n">
        <v>4</v>
      </c>
      <c r="Q340" s="5" t="n">
        <v>75</v>
      </c>
      <c r="R340" s="4" t="n">
        <v>45709</v>
      </c>
      <c r="S340" s="0" t="s">
        <v>1223</v>
      </c>
      <c r="T340" s="0" t="n">
        <f aca="false">R340-J340</f>
        <v>4</v>
      </c>
      <c r="U340" s="5" t="n">
        <f aca="false">M340*N340</f>
        <v>3597</v>
      </c>
      <c r="V340" s="6" t="n">
        <f aca="false">IF(O340="FLAT5",5%,IF(O340="FLAT10",10%,IF(O340="FLAT15",15%,IF(O340="FLAT20",20%,0))))</f>
        <v>0</v>
      </c>
      <c r="W340" s="5" t="n">
        <f aca="false">U340*(1-V340)</f>
        <v>3597</v>
      </c>
      <c r="X340" s="5" t="n">
        <f aca="false">W340+IF(O340="DEL0",0,Q340)</f>
        <v>3672</v>
      </c>
      <c r="Y340" s="0" t="str">
        <f aca="false">B340&amp;" "&amp;C340</f>
        <v>Kavya Das</v>
      </c>
      <c r="Z340" s="0" t="str">
        <f aca="false">IF(T340&lt;P340,"BeforeTime",IF(T340=P340,"Intime","Late"))</f>
        <v>Intime</v>
      </c>
      <c r="AA340" s="0" t="str">
        <f aca="false">TEXT(J340,"mmm")</f>
        <v>Feb</v>
      </c>
      <c r="AB340" s="0" t="e">
        <f aca="false">xlookup(L340,Products!A:A,Products!B:B,"")</f>
        <v>#NAME?</v>
      </c>
    </row>
    <row r="341" customFormat="false" ht="15" hidden="false" customHeight="false" outlineLevel="0" collapsed="false">
      <c r="A341" s="0" t="s">
        <v>1163</v>
      </c>
      <c r="B341" s="0" t="s">
        <v>147</v>
      </c>
      <c r="C341" s="0" t="s">
        <v>195</v>
      </c>
      <c r="D341" s="0" t="n">
        <v>27</v>
      </c>
      <c r="E341" s="0" t="s">
        <v>48</v>
      </c>
      <c r="F341" s="0" t="s">
        <v>59</v>
      </c>
      <c r="G341" s="0" t="s">
        <v>1676</v>
      </c>
      <c r="H341" s="0" t="s">
        <v>1677</v>
      </c>
      <c r="I341" s="0" t="s">
        <v>1678</v>
      </c>
      <c r="J341" s="4" t="n">
        <v>46014</v>
      </c>
      <c r="K341" s="0" t="s">
        <v>1679</v>
      </c>
      <c r="L341" s="0" t="s">
        <v>240</v>
      </c>
      <c r="M341" s="5" t="n">
        <v>4999</v>
      </c>
      <c r="N341" s="0" t="n">
        <v>4</v>
      </c>
      <c r="O341" s="0" t="s">
        <v>101</v>
      </c>
      <c r="P341" s="0" t="n">
        <v>3</v>
      </c>
      <c r="Q341" s="5" t="n">
        <v>40</v>
      </c>
      <c r="R341" s="4" t="n">
        <v>46017</v>
      </c>
      <c r="S341" s="0" t="s">
        <v>480</v>
      </c>
      <c r="T341" s="0" t="n">
        <f aca="false">R341-J341</f>
        <v>3</v>
      </c>
      <c r="U341" s="5" t="n">
        <f aca="false">M341*N341</f>
        <v>19996</v>
      </c>
      <c r="V341" s="6" t="n">
        <f aca="false">IF(O341="FLAT5",5%,IF(O341="FLAT10",10%,IF(O341="FLAT15",15%,IF(O341="FLAT20",20%,0))))</f>
        <v>0.15</v>
      </c>
      <c r="W341" s="5" t="n">
        <f aca="false">U341*(1-V341)</f>
        <v>16996.6</v>
      </c>
      <c r="X341" s="5" t="n">
        <f aca="false">W341+IF(O341="DEL0",0,Q341)</f>
        <v>17036.6</v>
      </c>
      <c r="Y341" s="0" t="str">
        <f aca="false">B341&amp;" "&amp;C341</f>
        <v>Pooja Singh</v>
      </c>
      <c r="Z341" s="0" t="str">
        <f aca="false">IF(T341&lt;P341,"BeforeTime",IF(T341=P341,"Intime","Late"))</f>
        <v>Intime</v>
      </c>
      <c r="AA341" s="0" t="str">
        <f aca="false">TEXT(J341,"mmm")</f>
        <v>Dec</v>
      </c>
      <c r="AB341" s="0" t="e">
        <f aca="false">xlookup(L341,Products!A:A,Products!B:B,"")</f>
        <v>#NAME?</v>
      </c>
    </row>
    <row r="342" customFormat="false" ht="15" hidden="false" customHeight="false" outlineLevel="0" collapsed="false">
      <c r="A342" s="0" t="s">
        <v>638</v>
      </c>
      <c r="B342" s="0" t="s">
        <v>104</v>
      </c>
      <c r="C342" s="0" t="s">
        <v>368</v>
      </c>
      <c r="D342" s="0" t="n">
        <v>47</v>
      </c>
      <c r="E342" s="0" t="s">
        <v>48</v>
      </c>
      <c r="F342" s="0" t="s">
        <v>114</v>
      </c>
      <c r="G342" s="0" t="s">
        <v>1680</v>
      </c>
      <c r="H342" s="0" t="s">
        <v>544</v>
      </c>
      <c r="I342" s="0" t="s">
        <v>1681</v>
      </c>
      <c r="J342" s="4" t="n">
        <v>45972</v>
      </c>
      <c r="K342" s="0" t="s">
        <v>1682</v>
      </c>
      <c r="L342" s="0" t="s">
        <v>240</v>
      </c>
      <c r="M342" s="5" t="n">
        <v>4999</v>
      </c>
      <c r="N342" s="0" t="n">
        <v>3</v>
      </c>
      <c r="O342" s="0" t="s">
        <v>259</v>
      </c>
      <c r="P342" s="0" t="n">
        <v>6</v>
      </c>
      <c r="Q342" s="5" t="n">
        <v>120</v>
      </c>
      <c r="R342" s="4" t="n">
        <v>45978</v>
      </c>
      <c r="S342" s="0" t="s">
        <v>137</v>
      </c>
      <c r="T342" s="0" t="n">
        <f aca="false">R342-J342</f>
        <v>6</v>
      </c>
      <c r="U342" s="5" t="n">
        <f aca="false">M342*N342</f>
        <v>14997</v>
      </c>
      <c r="V342" s="6" t="n">
        <f aca="false">IF(O342="FLAT5",5%,IF(O342="FLAT10",10%,IF(O342="FLAT15",15%,IF(O342="FLAT20",20%,0))))</f>
        <v>0</v>
      </c>
      <c r="W342" s="5" t="n">
        <f aca="false">U342*(1-V342)</f>
        <v>14997</v>
      </c>
      <c r="X342" s="5" t="n">
        <f aca="false">W342+IF(O342="DEL0",0,Q342)</f>
        <v>15117</v>
      </c>
      <c r="Y342" s="0" t="str">
        <f aca="false">B342&amp;" "&amp;C342</f>
        <v>Keerthi Das</v>
      </c>
      <c r="Z342" s="0" t="str">
        <f aca="false">IF(T342&lt;P342,"BeforeTime",IF(T342=P342,"Intime","Late"))</f>
        <v>Intime</v>
      </c>
      <c r="AA342" s="0" t="str">
        <f aca="false">TEXT(J342,"mmm")</f>
        <v>Nov</v>
      </c>
      <c r="AB342" s="0" t="e">
        <f aca="false">xlookup(L342,Products!A:A,Products!B:B,"")</f>
        <v>#NAME?</v>
      </c>
    </row>
    <row r="343" customFormat="false" ht="15" hidden="false" customHeight="false" outlineLevel="0" collapsed="false">
      <c r="A343" s="0" t="s">
        <v>416</v>
      </c>
      <c r="B343" s="0" t="s">
        <v>122</v>
      </c>
      <c r="C343" s="0" t="s">
        <v>47</v>
      </c>
      <c r="D343" s="0" t="n">
        <v>20</v>
      </c>
      <c r="E343" s="0" t="s">
        <v>36</v>
      </c>
      <c r="F343" s="0" t="s">
        <v>202</v>
      </c>
      <c r="G343" s="0" t="s">
        <v>1683</v>
      </c>
      <c r="H343" s="0" t="s">
        <v>333</v>
      </c>
      <c r="I343" s="0" t="s">
        <v>1684</v>
      </c>
      <c r="J343" s="4" t="n">
        <v>45764</v>
      </c>
      <c r="K343" s="0" t="s">
        <v>465</v>
      </c>
      <c r="L343" s="0" t="s">
        <v>53</v>
      </c>
      <c r="M343" s="5" t="n">
        <v>2499</v>
      </c>
      <c r="N343" s="0" t="n">
        <v>1</v>
      </c>
      <c r="O343" s="0" t="s">
        <v>54</v>
      </c>
      <c r="P343" s="0" t="n">
        <v>6</v>
      </c>
      <c r="Q343" s="5" t="n">
        <v>0</v>
      </c>
      <c r="R343" s="4" t="n">
        <v>45774</v>
      </c>
      <c r="S343" s="0" t="s">
        <v>1685</v>
      </c>
      <c r="T343" s="0" t="n">
        <f aca="false">R343-J343</f>
        <v>10</v>
      </c>
      <c r="U343" s="5" t="n">
        <f aca="false">M343*N343</f>
        <v>2499</v>
      </c>
      <c r="V343" s="6" t="n">
        <f aca="false">IF(O343="FLAT5",5%,IF(O343="FLAT10",10%,IF(O343="FLAT15",15%,IF(O343="FLAT20",20%,0))))</f>
        <v>0</v>
      </c>
      <c r="W343" s="5" t="n">
        <f aca="false">U343*(1-V343)</f>
        <v>2499</v>
      </c>
      <c r="X343" s="5" t="n">
        <f aca="false">W343+IF(O343="DEL0",0,Q343)</f>
        <v>2499</v>
      </c>
      <c r="Y343" s="0" t="str">
        <f aca="false">B343&amp;" "&amp;C343</f>
        <v>Meera Verma</v>
      </c>
      <c r="Z343" s="0" t="str">
        <f aca="false">IF(T343&lt;P343,"BeforeTime",IF(T343=P343,"Intime","Late"))</f>
        <v>Late</v>
      </c>
      <c r="AA343" s="0" t="str">
        <f aca="false">TEXT(J343,"mmm")</f>
        <v>Apr</v>
      </c>
      <c r="AB343" s="0" t="e">
        <f aca="false">xlookup(L343,Products!A:A,Products!B:B,"")</f>
        <v>#NAME?</v>
      </c>
    </row>
    <row r="344" customFormat="false" ht="15" hidden="false" customHeight="false" outlineLevel="0" collapsed="false">
      <c r="A344" s="0" t="s">
        <v>45</v>
      </c>
      <c r="B344" s="0" t="s">
        <v>139</v>
      </c>
      <c r="C344" s="0" t="s">
        <v>47</v>
      </c>
      <c r="D344" s="0" t="n">
        <v>38</v>
      </c>
      <c r="E344" s="0" t="s">
        <v>48</v>
      </c>
      <c r="F344" s="0" t="s">
        <v>140</v>
      </c>
      <c r="G344" s="0" t="s">
        <v>1686</v>
      </c>
      <c r="H344" s="0" t="s">
        <v>1687</v>
      </c>
      <c r="I344" s="0" t="s">
        <v>1688</v>
      </c>
      <c r="J344" s="4" t="n">
        <v>45823</v>
      </c>
      <c r="K344" s="0" t="s">
        <v>293</v>
      </c>
      <c r="L344" s="0" t="s">
        <v>72</v>
      </c>
      <c r="M344" s="5" t="n">
        <v>1299</v>
      </c>
      <c r="N344" s="0" t="n">
        <v>3</v>
      </c>
      <c r="O344" s="0" t="s">
        <v>101</v>
      </c>
      <c r="P344" s="0" t="n">
        <v>2</v>
      </c>
      <c r="Q344" s="5" t="n">
        <v>60</v>
      </c>
      <c r="R344" s="4" t="n">
        <v>45824</v>
      </c>
      <c r="S344" s="0" t="s">
        <v>1689</v>
      </c>
      <c r="T344" s="0" t="n">
        <f aca="false">R344-J344</f>
        <v>1</v>
      </c>
      <c r="U344" s="5" t="n">
        <f aca="false">M344*N344</f>
        <v>3897</v>
      </c>
      <c r="V344" s="6" t="n">
        <f aca="false">IF(O344="FLAT5",5%,IF(O344="FLAT10",10%,IF(O344="FLAT15",15%,IF(O344="FLAT20",20%,0))))</f>
        <v>0.15</v>
      </c>
      <c r="W344" s="5" t="n">
        <f aca="false">U344*(1-V344)</f>
        <v>3312.45</v>
      </c>
      <c r="X344" s="5" t="n">
        <f aca="false">W344+IF(O344="DEL0",0,Q344)</f>
        <v>3372.45</v>
      </c>
      <c r="Y344" s="0" t="str">
        <f aca="false">B344&amp;" "&amp;C344</f>
        <v>Aarav Verma</v>
      </c>
      <c r="Z344" s="0" t="str">
        <f aca="false">IF(T344&lt;P344,"BeforeTime",IF(T344=P344,"Intime","Late"))</f>
        <v>BeforeTime</v>
      </c>
      <c r="AA344" s="0" t="str">
        <f aca="false">TEXT(J344,"mmm")</f>
        <v>Jun</v>
      </c>
      <c r="AB344" s="0" t="e">
        <f aca="false">xlookup(L344,Products!A:A,Products!B:B,"")</f>
        <v>#NAME?</v>
      </c>
    </row>
    <row r="345" customFormat="false" ht="15" hidden="false" customHeight="false" outlineLevel="0" collapsed="false">
      <c r="A345" s="0" t="s">
        <v>1058</v>
      </c>
      <c r="B345" s="0" t="s">
        <v>86</v>
      </c>
      <c r="C345" s="0" t="s">
        <v>229</v>
      </c>
      <c r="D345" s="0" t="n">
        <v>50</v>
      </c>
      <c r="E345" s="0" t="s">
        <v>48</v>
      </c>
      <c r="F345" s="0" t="s">
        <v>202</v>
      </c>
      <c r="G345" s="0" t="s">
        <v>1690</v>
      </c>
      <c r="H345" s="0" t="s">
        <v>1691</v>
      </c>
      <c r="I345" s="0" t="s">
        <v>1692</v>
      </c>
      <c r="J345" s="4" t="n">
        <v>45979</v>
      </c>
      <c r="K345" s="0" t="s">
        <v>1693</v>
      </c>
      <c r="L345" s="0" t="s">
        <v>119</v>
      </c>
      <c r="M345" s="5" t="n">
        <v>899</v>
      </c>
      <c r="N345" s="0" t="n">
        <v>2</v>
      </c>
      <c r="O345" s="0" t="s">
        <v>101</v>
      </c>
      <c r="P345" s="0" t="n">
        <v>5</v>
      </c>
      <c r="Q345" s="5" t="n">
        <v>75</v>
      </c>
      <c r="R345" s="4" t="n">
        <v>45987</v>
      </c>
      <c r="S345" s="0" t="s">
        <v>1694</v>
      </c>
      <c r="T345" s="0" t="n">
        <f aca="false">R345-J345</f>
        <v>8</v>
      </c>
      <c r="U345" s="5" t="n">
        <f aca="false">M345*N345</f>
        <v>1798</v>
      </c>
      <c r="V345" s="6" t="n">
        <f aca="false">IF(O345="FLAT5",5%,IF(O345="FLAT10",10%,IF(O345="FLAT15",15%,IF(O345="FLAT20",20%,0))))</f>
        <v>0.15</v>
      </c>
      <c r="W345" s="5" t="n">
        <f aca="false">U345*(1-V345)</f>
        <v>1528.3</v>
      </c>
      <c r="X345" s="5" t="n">
        <f aca="false">W345+IF(O345="DEL0",0,Q345)</f>
        <v>1603.3</v>
      </c>
      <c r="Y345" s="0" t="str">
        <f aca="false">B345&amp;" "&amp;C345</f>
        <v>Rahul Joshi</v>
      </c>
      <c r="Z345" s="0" t="str">
        <f aca="false">IF(T345&lt;P345,"BeforeTime",IF(T345=P345,"Intime","Late"))</f>
        <v>Late</v>
      </c>
      <c r="AA345" s="0" t="str">
        <f aca="false">TEXT(J345,"mmm")</f>
        <v>Nov</v>
      </c>
      <c r="AB345" s="0" t="e">
        <f aca="false">xlookup(L345,Products!A:A,Products!B:B,"")</f>
        <v>#NAME?</v>
      </c>
    </row>
    <row r="346" customFormat="false" ht="15" hidden="false" customHeight="false" outlineLevel="0" collapsed="false">
      <c r="A346" s="0" t="s">
        <v>723</v>
      </c>
      <c r="B346" s="0" t="s">
        <v>86</v>
      </c>
      <c r="C346" s="0" t="s">
        <v>35</v>
      </c>
      <c r="D346" s="0" t="n">
        <v>33</v>
      </c>
      <c r="E346" s="0" t="s">
        <v>48</v>
      </c>
      <c r="F346" s="0" t="s">
        <v>59</v>
      </c>
      <c r="G346" s="0" t="s">
        <v>1695</v>
      </c>
      <c r="H346" s="0" t="s">
        <v>1570</v>
      </c>
      <c r="I346" s="0" t="s">
        <v>1696</v>
      </c>
      <c r="J346" s="4" t="n">
        <v>45673</v>
      </c>
      <c r="K346" s="0" t="s">
        <v>1653</v>
      </c>
      <c r="L346" s="0" t="s">
        <v>129</v>
      </c>
      <c r="M346" s="5" t="n">
        <v>2999</v>
      </c>
      <c r="N346" s="0" t="n">
        <v>2</v>
      </c>
      <c r="O346" s="0" t="s">
        <v>91</v>
      </c>
      <c r="P346" s="0" t="n">
        <v>4</v>
      </c>
      <c r="Q346" s="5" t="n">
        <v>90</v>
      </c>
      <c r="R346" s="4" t="n">
        <v>45679</v>
      </c>
      <c r="S346" s="0" t="s">
        <v>760</v>
      </c>
      <c r="T346" s="0" t="n">
        <f aca="false">R346-J346</f>
        <v>6</v>
      </c>
      <c r="U346" s="5" t="n">
        <f aca="false">M346*N346</f>
        <v>5998</v>
      </c>
      <c r="V346" s="6" t="n">
        <f aca="false">IF(O346="FLAT5",5%,IF(O346="FLAT10",10%,IF(O346="FLAT15",15%,IF(O346="FLAT20",20%,0))))</f>
        <v>0.1</v>
      </c>
      <c r="W346" s="5" t="n">
        <f aca="false">U346*(1-V346)</f>
        <v>5398.2</v>
      </c>
      <c r="X346" s="5" t="n">
        <f aca="false">W346+IF(O346="DEL0",0,Q346)</f>
        <v>5488.2</v>
      </c>
      <c r="Y346" s="0" t="str">
        <f aca="false">B346&amp;" "&amp;C346</f>
        <v>Rahul Sharma</v>
      </c>
      <c r="Z346" s="0" t="str">
        <f aca="false">IF(T346&lt;P346,"BeforeTime",IF(T346=P346,"Intime","Late"))</f>
        <v>Late</v>
      </c>
      <c r="AA346" s="0" t="str">
        <f aca="false">TEXT(J346,"mmm")</f>
        <v>Jan</v>
      </c>
      <c r="AB346" s="0" t="e">
        <f aca="false">xlookup(L346,Products!A:A,Products!B:B,"")</f>
        <v>#NAME?</v>
      </c>
    </row>
    <row r="347" customFormat="false" ht="15" hidden="false" customHeight="false" outlineLevel="0" collapsed="false">
      <c r="A347" s="0" t="s">
        <v>103</v>
      </c>
      <c r="B347" s="0" t="s">
        <v>86</v>
      </c>
      <c r="C347" s="0" t="s">
        <v>210</v>
      </c>
      <c r="D347" s="0" t="n">
        <v>37</v>
      </c>
      <c r="E347" s="0" t="s">
        <v>48</v>
      </c>
      <c r="F347" s="0" t="s">
        <v>140</v>
      </c>
      <c r="G347" s="0" t="s">
        <v>1697</v>
      </c>
      <c r="H347" s="0" t="s">
        <v>1698</v>
      </c>
      <c r="I347" s="0" t="s">
        <v>1699</v>
      </c>
      <c r="J347" s="4" t="n">
        <v>45812</v>
      </c>
      <c r="K347" s="0" t="s">
        <v>1700</v>
      </c>
      <c r="L347" s="0" t="s">
        <v>53</v>
      </c>
      <c r="M347" s="5" t="n">
        <v>2499</v>
      </c>
      <c r="N347" s="0" t="n">
        <v>2</v>
      </c>
      <c r="O347" s="0" t="s">
        <v>91</v>
      </c>
      <c r="P347" s="0" t="n">
        <v>3</v>
      </c>
      <c r="Q347" s="5" t="n">
        <v>50</v>
      </c>
      <c r="R347" s="4" t="n">
        <v>45815</v>
      </c>
      <c r="S347" s="0" t="s">
        <v>1701</v>
      </c>
      <c r="T347" s="0" t="n">
        <f aca="false">R347-J347</f>
        <v>3</v>
      </c>
      <c r="U347" s="5" t="n">
        <f aca="false">M347*N347</f>
        <v>4998</v>
      </c>
      <c r="V347" s="6" t="n">
        <f aca="false">IF(O347="FLAT5",5%,IF(O347="FLAT10",10%,IF(O347="FLAT15",15%,IF(O347="FLAT20",20%,0))))</f>
        <v>0.1</v>
      </c>
      <c r="W347" s="5" t="n">
        <f aca="false">U347*(1-V347)</f>
        <v>4498.2</v>
      </c>
      <c r="X347" s="5" t="n">
        <f aca="false">W347+IF(O347="DEL0",0,Q347)</f>
        <v>4548.2</v>
      </c>
      <c r="Y347" s="0" t="str">
        <f aca="false">B347&amp;" "&amp;C347</f>
        <v>Rahul Reddy</v>
      </c>
      <c r="Z347" s="0" t="str">
        <f aca="false">IF(T347&lt;P347,"BeforeTime",IF(T347=P347,"Intime","Late"))</f>
        <v>Intime</v>
      </c>
      <c r="AA347" s="0" t="str">
        <f aca="false">TEXT(J347,"mmm")</f>
        <v>Jun</v>
      </c>
      <c r="AB347" s="0" t="e">
        <f aca="false">xlookup(L347,Products!A:A,Products!B:B,"")</f>
        <v>#NAME?</v>
      </c>
    </row>
    <row r="348" customFormat="false" ht="15" hidden="false" customHeight="false" outlineLevel="0" collapsed="false">
      <c r="A348" s="0" t="s">
        <v>1298</v>
      </c>
      <c r="B348" s="0" t="s">
        <v>269</v>
      </c>
      <c r="C348" s="0" t="s">
        <v>35</v>
      </c>
      <c r="D348" s="0" t="n">
        <v>50</v>
      </c>
      <c r="E348" s="0" t="s">
        <v>36</v>
      </c>
      <c r="F348" s="0" t="s">
        <v>37</v>
      </c>
      <c r="G348" s="0" t="s">
        <v>1702</v>
      </c>
      <c r="H348" s="0" t="s">
        <v>584</v>
      </c>
      <c r="I348" s="0" t="s">
        <v>1703</v>
      </c>
      <c r="J348" s="4" t="n">
        <v>45926</v>
      </c>
      <c r="K348" s="0" t="s">
        <v>1704</v>
      </c>
      <c r="L348" s="0" t="s">
        <v>391</v>
      </c>
      <c r="M348" s="5" t="n">
        <v>3499</v>
      </c>
      <c r="N348" s="0" t="n">
        <v>4</v>
      </c>
      <c r="O348" s="0" t="s">
        <v>54</v>
      </c>
      <c r="P348" s="0" t="n">
        <v>4</v>
      </c>
      <c r="Q348" s="5" t="n">
        <v>0</v>
      </c>
      <c r="R348" s="4" t="n">
        <v>45932</v>
      </c>
      <c r="S348" s="0" t="s">
        <v>1705</v>
      </c>
      <c r="T348" s="0" t="n">
        <f aca="false">R348-J348</f>
        <v>6</v>
      </c>
      <c r="U348" s="5" t="n">
        <f aca="false">M348*N348</f>
        <v>13996</v>
      </c>
      <c r="V348" s="6" t="n">
        <f aca="false">IF(O348="FLAT5",5%,IF(O348="FLAT10",10%,IF(O348="FLAT15",15%,IF(O348="FLAT20",20%,0))))</f>
        <v>0</v>
      </c>
      <c r="W348" s="5" t="n">
        <f aca="false">U348*(1-V348)</f>
        <v>13996</v>
      </c>
      <c r="X348" s="5" t="n">
        <f aca="false">W348+IF(O348="DEL0",0,Q348)</f>
        <v>13996</v>
      </c>
      <c r="Y348" s="0" t="str">
        <f aca="false">B348&amp;" "&amp;C348</f>
        <v>Varun Sharma</v>
      </c>
      <c r="Z348" s="0" t="str">
        <f aca="false">IF(T348&lt;P348,"BeforeTime",IF(T348=P348,"Intime","Late"))</f>
        <v>Late</v>
      </c>
      <c r="AA348" s="0" t="str">
        <f aca="false">TEXT(J348,"mmm")</f>
        <v>Sep</v>
      </c>
      <c r="AB348" s="0" t="e">
        <f aca="false">xlookup(L348,Products!A:A,Products!B:B,"")</f>
        <v>#NAME?</v>
      </c>
    </row>
    <row r="349" customFormat="false" ht="15" hidden="false" customHeight="false" outlineLevel="0" collapsed="false">
      <c r="A349" s="0" t="s">
        <v>1706</v>
      </c>
      <c r="B349" s="0" t="s">
        <v>174</v>
      </c>
      <c r="C349" s="0" t="s">
        <v>105</v>
      </c>
      <c r="D349" s="0" t="n">
        <v>44</v>
      </c>
      <c r="E349" s="0" t="s">
        <v>36</v>
      </c>
      <c r="F349" s="0" t="s">
        <v>202</v>
      </c>
      <c r="G349" s="0" t="s">
        <v>1707</v>
      </c>
      <c r="H349" s="0" t="s">
        <v>1400</v>
      </c>
      <c r="I349" s="0" t="s">
        <v>1708</v>
      </c>
      <c r="J349" s="4" t="n">
        <v>45962</v>
      </c>
      <c r="K349" s="0" t="s">
        <v>1709</v>
      </c>
      <c r="L349" s="0" t="s">
        <v>72</v>
      </c>
      <c r="M349" s="5" t="n">
        <v>1299</v>
      </c>
      <c r="N349" s="0" t="n">
        <v>1</v>
      </c>
      <c r="O349" s="0" t="s">
        <v>54</v>
      </c>
      <c r="P349" s="0" t="n">
        <v>2</v>
      </c>
      <c r="Q349" s="5" t="n">
        <v>0</v>
      </c>
      <c r="R349" s="4" t="n">
        <v>45964</v>
      </c>
      <c r="S349" s="0" t="s">
        <v>1710</v>
      </c>
      <c r="T349" s="0" t="n">
        <f aca="false">R349-J349</f>
        <v>2</v>
      </c>
      <c r="U349" s="5" t="n">
        <f aca="false">M349*N349</f>
        <v>1299</v>
      </c>
      <c r="V349" s="6" t="n">
        <f aca="false">IF(O349="FLAT5",5%,IF(O349="FLAT10",10%,IF(O349="FLAT15",15%,IF(O349="FLAT20",20%,0))))</f>
        <v>0</v>
      </c>
      <c r="W349" s="5" t="n">
        <f aca="false">U349*(1-V349)</f>
        <v>1299</v>
      </c>
      <c r="X349" s="5" t="n">
        <f aca="false">W349+IF(O349="DEL0",0,Q349)</f>
        <v>1299</v>
      </c>
      <c r="Y349" s="0" t="str">
        <f aca="false">B349&amp;" "&amp;C349</f>
        <v>Ananya Bhat</v>
      </c>
      <c r="Z349" s="0" t="str">
        <f aca="false">IF(T349&lt;P349,"BeforeTime",IF(T349=P349,"Intime","Late"))</f>
        <v>Intime</v>
      </c>
      <c r="AA349" s="0" t="str">
        <f aca="false">TEXT(J349,"mmm")</f>
        <v>Nov</v>
      </c>
      <c r="AB349" s="0" t="e">
        <f aca="false">xlookup(L349,Products!A:A,Products!B:B,"")</f>
        <v>#NAME?</v>
      </c>
    </row>
    <row r="350" customFormat="false" ht="15" hidden="false" customHeight="false" outlineLevel="0" collapsed="false">
      <c r="A350" s="0" t="s">
        <v>1711</v>
      </c>
      <c r="B350" s="0" t="s">
        <v>122</v>
      </c>
      <c r="C350" s="0" t="s">
        <v>35</v>
      </c>
      <c r="D350" s="0" t="n">
        <v>56</v>
      </c>
      <c r="E350" s="0" t="s">
        <v>48</v>
      </c>
      <c r="F350" s="0" t="s">
        <v>37</v>
      </c>
      <c r="G350" s="0" t="s">
        <v>1712</v>
      </c>
      <c r="H350" s="0" t="s">
        <v>237</v>
      </c>
      <c r="I350" s="0" t="s">
        <v>1713</v>
      </c>
      <c r="J350" s="4" t="n">
        <v>45799</v>
      </c>
      <c r="K350" s="0" t="s">
        <v>536</v>
      </c>
      <c r="L350" s="0" t="s">
        <v>391</v>
      </c>
      <c r="M350" s="5" t="n">
        <v>3499</v>
      </c>
      <c r="N350" s="0" t="n">
        <v>2</v>
      </c>
      <c r="O350" s="0" t="s">
        <v>91</v>
      </c>
      <c r="P350" s="0" t="n">
        <v>6</v>
      </c>
      <c r="Q350" s="5" t="n">
        <v>75</v>
      </c>
      <c r="R350" s="4" t="n">
        <v>45805</v>
      </c>
      <c r="S350" s="0" t="s">
        <v>951</v>
      </c>
      <c r="T350" s="0" t="n">
        <f aca="false">R350-J350</f>
        <v>6</v>
      </c>
      <c r="U350" s="5" t="n">
        <f aca="false">M350*N350</f>
        <v>6998</v>
      </c>
      <c r="V350" s="6" t="n">
        <f aca="false">IF(O350="FLAT5",5%,IF(O350="FLAT10",10%,IF(O350="FLAT15",15%,IF(O350="FLAT20",20%,0))))</f>
        <v>0.1</v>
      </c>
      <c r="W350" s="5" t="n">
        <f aca="false">U350*(1-V350)</f>
        <v>6298.2</v>
      </c>
      <c r="X350" s="5" t="n">
        <f aca="false">W350+IF(O350="DEL0",0,Q350)</f>
        <v>6373.2</v>
      </c>
      <c r="Y350" s="0" t="str">
        <f aca="false">B350&amp;" "&amp;C350</f>
        <v>Meera Sharma</v>
      </c>
      <c r="Z350" s="0" t="str">
        <f aca="false">IF(T350&lt;P350,"BeforeTime",IF(T350=P350,"Intime","Late"))</f>
        <v>Intime</v>
      </c>
      <c r="AA350" s="0" t="str">
        <f aca="false">TEXT(J350,"mmm")</f>
        <v>May</v>
      </c>
      <c r="AB350" s="0" t="e">
        <f aca="false">xlookup(L350,Products!A:A,Products!B:B,"")</f>
        <v>#NAME?</v>
      </c>
    </row>
    <row r="351" customFormat="false" ht="15" hidden="false" customHeight="false" outlineLevel="0" collapsed="false">
      <c r="A351" s="0" t="s">
        <v>349</v>
      </c>
      <c r="B351" s="0" t="s">
        <v>139</v>
      </c>
      <c r="C351" s="0" t="s">
        <v>261</v>
      </c>
      <c r="D351" s="0" t="n">
        <v>33</v>
      </c>
      <c r="E351" s="0" t="s">
        <v>48</v>
      </c>
      <c r="F351" s="0" t="s">
        <v>77</v>
      </c>
      <c r="G351" s="0" t="s">
        <v>1714</v>
      </c>
      <c r="H351" s="0" t="s">
        <v>307</v>
      </c>
      <c r="I351" s="0" t="s">
        <v>1715</v>
      </c>
      <c r="J351" s="4" t="n">
        <v>46018</v>
      </c>
      <c r="K351" s="0" t="s">
        <v>1716</v>
      </c>
      <c r="L351" s="0" t="s">
        <v>391</v>
      </c>
      <c r="M351" s="5" t="n">
        <v>3499</v>
      </c>
      <c r="N351" s="0" t="n">
        <v>3</v>
      </c>
      <c r="O351" s="0" t="s">
        <v>83</v>
      </c>
      <c r="P351" s="0" t="n">
        <v>4</v>
      </c>
      <c r="Q351" s="5" t="n">
        <v>50</v>
      </c>
      <c r="R351" s="4" t="n">
        <v>46022</v>
      </c>
      <c r="S351" s="0" t="s">
        <v>1717</v>
      </c>
      <c r="T351" s="0" t="n">
        <f aca="false">R351-J351</f>
        <v>4</v>
      </c>
      <c r="U351" s="5" t="n">
        <f aca="false">M351*N351</f>
        <v>10497</v>
      </c>
      <c r="V351" s="6" t="n">
        <f aca="false">IF(O351="FLAT5",5%,IF(O351="FLAT10",10%,IF(O351="FLAT15",15%,IF(O351="FLAT20",20%,0))))</f>
        <v>0.05</v>
      </c>
      <c r="W351" s="5" t="n">
        <f aca="false">U351*(1-V351)</f>
        <v>9972.15</v>
      </c>
      <c r="X351" s="5" t="n">
        <f aca="false">W351+IF(O351="DEL0",0,Q351)</f>
        <v>10022.15</v>
      </c>
      <c r="Y351" s="0" t="str">
        <f aca="false">B351&amp;" "&amp;C351</f>
        <v>Aarav Kumar</v>
      </c>
      <c r="Z351" s="0" t="str">
        <f aca="false">IF(T351&lt;P351,"BeforeTime",IF(T351=P351,"Intime","Late"))</f>
        <v>Intime</v>
      </c>
      <c r="AA351" s="0" t="str">
        <f aca="false">TEXT(J351,"mmm")</f>
        <v>Dec</v>
      </c>
      <c r="AB351" s="0" t="e">
        <f aca="false">xlookup(L351,Products!A:A,Products!B:B,"")</f>
        <v>#NAME?</v>
      </c>
    </row>
    <row r="352" customFormat="false" ht="15" hidden="false" customHeight="false" outlineLevel="0" collapsed="false">
      <c r="A352" s="0" t="s">
        <v>638</v>
      </c>
      <c r="B352" s="0" t="s">
        <v>209</v>
      </c>
      <c r="C352" s="0" t="s">
        <v>35</v>
      </c>
      <c r="D352" s="0" t="n">
        <v>50</v>
      </c>
      <c r="E352" s="0" t="s">
        <v>36</v>
      </c>
      <c r="F352" s="0" t="s">
        <v>140</v>
      </c>
      <c r="G352" s="0" t="s">
        <v>1718</v>
      </c>
      <c r="H352" s="0" t="s">
        <v>1719</v>
      </c>
      <c r="I352" s="0" t="s">
        <v>1720</v>
      </c>
      <c r="J352" s="4" t="n">
        <v>45858</v>
      </c>
      <c r="K352" s="0" t="s">
        <v>712</v>
      </c>
      <c r="L352" s="0" t="s">
        <v>136</v>
      </c>
      <c r="M352" s="5" t="n">
        <v>1799</v>
      </c>
      <c r="N352" s="0" t="n">
        <v>1</v>
      </c>
      <c r="O352" s="0" t="s">
        <v>83</v>
      </c>
      <c r="P352" s="0" t="n">
        <v>3</v>
      </c>
      <c r="Q352" s="5" t="n">
        <v>90</v>
      </c>
      <c r="R352" s="4" t="n">
        <v>45861</v>
      </c>
      <c r="S352" s="0" t="s">
        <v>1721</v>
      </c>
      <c r="T352" s="0" t="n">
        <f aca="false">R352-J352</f>
        <v>3</v>
      </c>
      <c r="U352" s="5" t="n">
        <f aca="false">M352*N352</f>
        <v>1799</v>
      </c>
      <c r="V352" s="6" t="n">
        <f aca="false">IF(O352="FLAT5",5%,IF(O352="FLAT10",10%,IF(O352="FLAT15",15%,IF(O352="FLAT20",20%,0))))</f>
        <v>0.05</v>
      </c>
      <c r="W352" s="5" t="n">
        <f aca="false">U352*(1-V352)</f>
        <v>1709.05</v>
      </c>
      <c r="X352" s="5" t="n">
        <f aca="false">W352+IF(O352="DEL0",0,Q352)</f>
        <v>1799.05</v>
      </c>
      <c r="Y352" s="0" t="str">
        <f aca="false">B352&amp;" "&amp;C352</f>
        <v>Ishaan Sharma</v>
      </c>
      <c r="Z352" s="0" t="str">
        <f aca="false">IF(T352&lt;P352,"BeforeTime",IF(T352=P352,"Intime","Late"))</f>
        <v>Intime</v>
      </c>
      <c r="AA352" s="0" t="str">
        <f aca="false">TEXT(J352,"mmm")</f>
        <v>Jul</v>
      </c>
      <c r="AB352" s="0" t="e">
        <f aca="false">xlookup(L352,Products!A:A,Products!B:B,"")</f>
        <v>#NAME?</v>
      </c>
    </row>
    <row r="353" customFormat="false" ht="15" hidden="false" customHeight="false" outlineLevel="0" collapsed="false">
      <c r="A353" s="0" t="s">
        <v>380</v>
      </c>
      <c r="B353" s="0" t="s">
        <v>188</v>
      </c>
      <c r="C353" s="0" t="s">
        <v>76</v>
      </c>
      <c r="D353" s="0" t="n">
        <v>49</v>
      </c>
      <c r="E353" s="0" t="s">
        <v>36</v>
      </c>
      <c r="F353" s="0" t="s">
        <v>140</v>
      </c>
      <c r="G353" s="0" t="s">
        <v>1722</v>
      </c>
      <c r="H353" s="0" t="s">
        <v>1469</v>
      </c>
      <c r="I353" s="0" t="s">
        <v>1723</v>
      </c>
      <c r="J353" s="4" t="n">
        <v>45816</v>
      </c>
      <c r="K353" s="0" t="s">
        <v>1724</v>
      </c>
      <c r="L353" s="0" t="s">
        <v>82</v>
      </c>
      <c r="M353" s="5" t="n">
        <v>1199</v>
      </c>
      <c r="N353" s="0" t="n">
        <v>4</v>
      </c>
      <c r="O353" s="0" t="s">
        <v>83</v>
      </c>
      <c r="P353" s="0" t="n">
        <v>7</v>
      </c>
      <c r="Q353" s="5" t="n">
        <v>75</v>
      </c>
      <c r="R353" s="4" t="n">
        <v>45823</v>
      </c>
      <c r="S353" s="0" t="s">
        <v>516</v>
      </c>
      <c r="T353" s="0" t="n">
        <f aca="false">R353-J353</f>
        <v>7</v>
      </c>
      <c r="U353" s="5" t="n">
        <f aca="false">M353*N353</f>
        <v>4796</v>
      </c>
      <c r="V353" s="6" t="n">
        <f aca="false">IF(O353="FLAT5",5%,IF(O353="FLAT10",10%,IF(O353="FLAT15",15%,IF(O353="FLAT20",20%,0))))</f>
        <v>0.05</v>
      </c>
      <c r="W353" s="5" t="n">
        <f aca="false">U353*(1-V353)</f>
        <v>4556.2</v>
      </c>
      <c r="X353" s="5" t="n">
        <f aca="false">W353+IF(O353="DEL0",0,Q353)</f>
        <v>4631.2</v>
      </c>
      <c r="Y353" s="0" t="str">
        <f aca="false">B353&amp;" "&amp;C353</f>
        <v>Rohan Patel</v>
      </c>
      <c r="Z353" s="0" t="str">
        <f aca="false">IF(T353&lt;P353,"BeforeTime",IF(T353=P353,"Intime","Late"))</f>
        <v>Intime</v>
      </c>
      <c r="AA353" s="0" t="str">
        <f aca="false">TEXT(J353,"mmm")</f>
        <v>Jun</v>
      </c>
      <c r="AB353" s="0" t="e">
        <f aca="false">xlookup(L353,Products!A:A,Products!B:B,"")</f>
        <v>#NAME?</v>
      </c>
    </row>
    <row r="354" customFormat="false" ht="15" hidden="false" customHeight="false" outlineLevel="0" collapsed="false">
      <c r="A354" s="0" t="s">
        <v>522</v>
      </c>
      <c r="B354" s="0" t="s">
        <v>67</v>
      </c>
      <c r="C354" s="0" t="s">
        <v>58</v>
      </c>
      <c r="D354" s="0" t="n">
        <v>31</v>
      </c>
      <c r="E354" s="0" t="s">
        <v>48</v>
      </c>
      <c r="F354" s="0" t="s">
        <v>59</v>
      </c>
      <c r="G354" s="0" t="s">
        <v>1725</v>
      </c>
      <c r="H354" s="0" t="s">
        <v>1420</v>
      </c>
      <c r="I354" s="0" t="s">
        <v>1726</v>
      </c>
      <c r="J354" s="4" t="n">
        <v>45901</v>
      </c>
      <c r="K354" s="0" t="s">
        <v>1727</v>
      </c>
      <c r="L354" s="0" t="s">
        <v>53</v>
      </c>
      <c r="M354" s="5" t="n">
        <v>2499</v>
      </c>
      <c r="N354" s="0" t="n">
        <v>4</v>
      </c>
      <c r="O354" s="0" t="s">
        <v>83</v>
      </c>
      <c r="P354" s="0" t="n">
        <v>2</v>
      </c>
      <c r="Q354" s="5" t="n">
        <v>75</v>
      </c>
      <c r="R354" s="4" t="n">
        <v>45903</v>
      </c>
      <c r="S354" s="0" t="s">
        <v>765</v>
      </c>
      <c r="T354" s="0" t="n">
        <f aca="false">R354-J354</f>
        <v>2</v>
      </c>
      <c r="U354" s="5" t="n">
        <f aca="false">M354*N354</f>
        <v>9996</v>
      </c>
      <c r="V354" s="6" t="n">
        <f aca="false">IF(O354="FLAT5",5%,IF(O354="FLAT10",10%,IF(O354="FLAT15",15%,IF(O354="FLAT20",20%,0))))</f>
        <v>0.05</v>
      </c>
      <c r="W354" s="5" t="n">
        <f aca="false">U354*(1-V354)</f>
        <v>9496.2</v>
      </c>
      <c r="X354" s="5" t="n">
        <f aca="false">W354+IF(O354="DEL0",0,Q354)</f>
        <v>9571.2</v>
      </c>
      <c r="Y354" s="0" t="str">
        <f aca="false">B354&amp;" "&amp;C354</f>
        <v>Priya Iyer</v>
      </c>
      <c r="Z354" s="0" t="str">
        <f aca="false">IF(T354&lt;P354,"BeforeTime",IF(T354=P354,"Intime","Late"))</f>
        <v>Intime</v>
      </c>
      <c r="AA354" s="0" t="str">
        <f aca="false">TEXT(J354,"mmm")</f>
        <v>Sep</v>
      </c>
      <c r="AB354" s="0" t="e">
        <f aca="false">xlookup(L354,Products!A:A,Products!B:B,"")</f>
        <v>#NAME?</v>
      </c>
    </row>
    <row r="355" customFormat="false" ht="15" hidden="false" customHeight="false" outlineLevel="0" collapsed="false">
      <c r="A355" s="0" t="s">
        <v>1728</v>
      </c>
      <c r="B355" s="0" t="s">
        <v>209</v>
      </c>
      <c r="C355" s="0" t="s">
        <v>261</v>
      </c>
      <c r="D355" s="0" t="n">
        <v>45</v>
      </c>
      <c r="E355" s="0" t="s">
        <v>36</v>
      </c>
      <c r="F355" s="0" t="s">
        <v>59</v>
      </c>
      <c r="G355" s="0" t="s">
        <v>1729</v>
      </c>
      <c r="H355" s="0" t="s">
        <v>1730</v>
      </c>
      <c r="I355" s="0" t="s">
        <v>1731</v>
      </c>
      <c r="J355" s="4" t="n">
        <v>45930</v>
      </c>
      <c r="K355" s="0" t="s">
        <v>1020</v>
      </c>
      <c r="L355" s="0" t="s">
        <v>240</v>
      </c>
      <c r="M355" s="5" t="n">
        <v>4999</v>
      </c>
      <c r="N355" s="0" t="n">
        <v>1</v>
      </c>
      <c r="O355" s="0" t="s">
        <v>54</v>
      </c>
      <c r="P355" s="0" t="n">
        <v>5</v>
      </c>
      <c r="Q355" s="5" t="n">
        <v>0</v>
      </c>
      <c r="R355" s="4" t="n">
        <v>45935</v>
      </c>
      <c r="S355" s="0" t="s">
        <v>304</v>
      </c>
      <c r="T355" s="0" t="n">
        <f aca="false">R355-J355</f>
        <v>5</v>
      </c>
      <c r="U355" s="5" t="n">
        <f aca="false">M355*N355</f>
        <v>4999</v>
      </c>
      <c r="V355" s="6" t="n">
        <f aca="false">IF(O355="FLAT5",5%,IF(O355="FLAT10",10%,IF(O355="FLAT15",15%,IF(O355="FLAT20",20%,0))))</f>
        <v>0</v>
      </c>
      <c r="W355" s="5" t="n">
        <f aca="false">U355*(1-V355)</f>
        <v>4999</v>
      </c>
      <c r="X355" s="5" t="n">
        <f aca="false">W355+IF(O355="DEL0",0,Q355)</f>
        <v>4999</v>
      </c>
      <c r="Y355" s="0" t="str">
        <f aca="false">B355&amp;" "&amp;C355</f>
        <v>Ishaan Kumar</v>
      </c>
      <c r="Z355" s="0" t="str">
        <f aca="false">IF(T355&lt;P355,"BeforeTime",IF(T355=P355,"Intime","Late"))</f>
        <v>Intime</v>
      </c>
      <c r="AA355" s="0" t="str">
        <f aca="false">TEXT(J355,"mmm")</f>
        <v>Sep</v>
      </c>
      <c r="AB355" s="0" t="e">
        <f aca="false">xlookup(L355,Products!A:A,Products!B:B,"")</f>
        <v>#NAME?</v>
      </c>
    </row>
    <row r="356" customFormat="false" ht="15" hidden="false" customHeight="false" outlineLevel="0" collapsed="false">
      <c r="A356" s="0" t="s">
        <v>813</v>
      </c>
      <c r="B356" s="0" t="s">
        <v>294</v>
      </c>
      <c r="C356" s="0" t="s">
        <v>76</v>
      </c>
      <c r="D356" s="0" t="n">
        <v>41</v>
      </c>
      <c r="E356" s="0" t="s">
        <v>36</v>
      </c>
      <c r="F356" s="0" t="s">
        <v>124</v>
      </c>
      <c r="G356" s="0" t="s">
        <v>1732</v>
      </c>
      <c r="H356" s="0" t="s">
        <v>847</v>
      </c>
      <c r="I356" s="0" t="s">
        <v>1733</v>
      </c>
      <c r="J356" s="4" t="n">
        <v>45833</v>
      </c>
      <c r="K356" s="0" t="s">
        <v>1288</v>
      </c>
      <c r="L356" s="0" t="s">
        <v>136</v>
      </c>
      <c r="M356" s="5" t="n">
        <v>1799</v>
      </c>
      <c r="N356" s="0" t="n">
        <v>4</v>
      </c>
      <c r="O356" s="0" t="s">
        <v>101</v>
      </c>
      <c r="P356" s="0" t="n">
        <v>6</v>
      </c>
      <c r="Q356" s="5" t="n">
        <v>50</v>
      </c>
      <c r="R356" s="4" t="n">
        <v>45839</v>
      </c>
      <c r="S356" s="0" t="s">
        <v>928</v>
      </c>
      <c r="T356" s="0" t="n">
        <f aca="false">R356-J356</f>
        <v>6</v>
      </c>
      <c r="U356" s="5" t="n">
        <f aca="false">M356*N356</f>
        <v>7196</v>
      </c>
      <c r="V356" s="6" t="n">
        <f aca="false">IF(O356="FLAT5",5%,IF(O356="FLAT10",10%,IF(O356="FLAT15",15%,IF(O356="FLAT20",20%,0))))</f>
        <v>0.15</v>
      </c>
      <c r="W356" s="5" t="n">
        <f aca="false">U356*(1-V356)</f>
        <v>6116.6</v>
      </c>
      <c r="X356" s="5" t="n">
        <f aca="false">W356+IF(O356="DEL0",0,Q356)</f>
        <v>6166.6</v>
      </c>
      <c r="Y356" s="0" t="str">
        <f aca="false">B356&amp;" "&amp;C356</f>
        <v>Aditya Patel</v>
      </c>
      <c r="Z356" s="0" t="str">
        <f aca="false">IF(T356&lt;P356,"BeforeTime",IF(T356=P356,"Intime","Late"))</f>
        <v>Intime</v>
      </c>
      <c r="AA356" s="0" t="str">
        <f aca="false">TEXT(J356,"mmm")</f>
        <v>Jun</v>
      </c>
      <c r="AB356" s="0" t="e">
        <f aca="false">xlookup(L356,Products!A:A,Products!B:B,"")</f>
        <v>#NAME?</v>
      </c>
    </row>
    <row r="357" customFormat="false" ht="15" hidden="false" customHeight="false" outlineLevel="0" collapsed="false">
      <c r="A357" s="0" t="s">
        <v>1734</v>
      </c>
      <c r="B357" s="0" t="s">
        <v>147</v>
      </c>
      <c r="C357" s="0" t="s">
        <v>261</v>
      </c>
      <c r="D357" s="0" t="n">
        <v>57</v>
      </c>
      <c r="E357" s="0" t="s">
        <v>48</v>
      </c>
      <c r="F357" s="0" t="s">
        <v>59</v>
      </c>
      <c r="G357" s="0" t="s">
        <v>1735</v>
      </c>
      <c r="H357" s="0" t="s">
        <v>1736</v>
      </c>
      <c r="I357" s="0" t="s">
        <v>1737</v>
      </c>
      <c r="J357" s="4" t="n">
        <v>45748</v>
      </c>
      <c r="K357" s="0" t="s">
        <v>1738</v>
      </c>
      <c r="L357" s="0" t="s">
        <v>240</v>
      </c>
      <c r="M357" s="5" t="n">
        <v>4999</v>
      </c>
      <c r="N357" s="0" t="n">
        <v>1</v>
      </c>
      <c r="O357" s="0" t="s">
        <v>54</v>
      </c>
      <c r="P357" s="0" t="n">
        <v>4</v>
      </c>
      <c r="Q357" s="5" t="n">
        <v>0</v>
      </c>
      <c r="R357" s="4" t="n">
        <v>45753</v>
      </c>
      <c r="S357" s="0" t="s">
        <v>1739</v>
      </c>
      <c r="T357" s="0" t="n">
        <f aca="false">R357-J357</f>
        <v>5</v>
      </c>
      <c r="U357" s="5" t="n">
        <f aca="false">M357*N357</f>
        <v>4999</v>
      </c>
      <c r="V357" s="6" t="n">
        <f aca="false">IF(O357="FLAT5",5%,IF(O357="FLAT10",10%,IF(O357="FLAT15",15%,IF(O357="FLAT20",20%,0))))</f>
        <v>0</v>
      </c>
      <c r="W357" s="5" t="n">
        <f aca="false">U357*(1-V357)</f>
        <v>4999</v>
      </c>
      <c r="X357" s="5" t="n">
        <f aca="false">W357+IF(O357="DEL0",0,Q357)</f>
        <v>4999</v>
      </c>
      <c r="Y357" s="0" t="str">
        <f aca="false">B357&amp;" "&amp;C357</f>
        <v>Pooja Kumar</v>
      </c>
      <c r="Z357" s="0" t="str">
        <f aca="false">IF(T357&lt;P357,"BeforeTime",IF(T357=P357,"Intime","Late"))</f>
        <v>Late</v>
      </c>
      <c r="AA357" s="0" t="str">
        <f aca="false">TEXT(J357,"mmm")</f>
        <v>Apr</v>
      </c>
      <c r="AB357" s="0" t="e">
        <f aca="false">xlookup(L357,Products!A:A,Products!B:B,"")</f>
        <v>#NAME?</v>
      </c>
    </row>
    <row r="358" customFormat="false" ht="15" hidden="false" customHeight="false" outlineLevel="0" collapsed="false">
      <c r="A358" s="0" t="s">
        <v>1740</v>
      </c>
      <c r="B358" s="0" t="s">
        <v>147</v>
      </c>
      <c r="C358" s="0" t="s">
        <v>210</v>
      </c>
      <c r="D358" s="0" t="n">
        <v>25</v>
      </c>
      <c r="E358" s="0" t="s">
        <v>36</v>
      </c>
      <c r="F358" s="0" t="s">
        <v>262</v>
      </c>
      <c r="G358" s="0" t="s">
        <v>1741</v>
      </c>
      <c r="H358" s="0" t="s">
        <v>706</v>
      </c>
      <c r="I358" s="0" t="s">
        <v>1742</v>
      </c>
      <c r="J358" s="4" t="n">
        <v>45996</v>
      </c>
      <c r="K358" s="0" t="s">
        <v>1743</v>
      </c>
      <c r="L358" s="0" t="s">
        <v>64</v>
      </c>
      <c r="M358" s="5" t="n">
        <v>2799</v>
      </c>
      <c r="N358" s="0" t="n">
        <v>1</v>
      </c>
      <c r="O358" s="0" t="s">
        <v>54</v>
      </c>
      <c r="P358" s="0" t="n">
        <v>3</v>
      </c>
      <c r="Q358" s="5" t="n">
        <v>0</v>
      </c>
      <c r="R358" s="4" t="n">
        <v>45999</v>
      </c>
      <c r="S358" s="0" t="s">
        <v>246</v>
      </c>
      <c r="T358" s="0" t="n">
        <f aca="false">R358-J358</f>
        <v>3</v>
      </c>
      <c r="U358" s="5" t="n">
        <f aca="false">M358*N358</f>
        <v>2799</v>
      </c>
      <c r="V358" s="6" t="n">
        <f aca="false">IF(O358="FLAT5",5%,IF(O358="FLAT10",10%,IF(O358="FLAT15",15%,IF(O358="FLAT20",20%,0))))</f>
        <v>0</v>
      </c>
      <c r="W358" s="5" t="n">
        <f aca="false">U358*(1-V358)</f>
        <v>2799</v>
      </c>
      <c r="X358" s="5" t="n">
        <f aca="false">W358+IF(O358="DEL0",0,Q358)</f>
        <v>2799</v>
      </c>
      <c r="Y358" s="0" t="str">
        <f aca="false">B358&amp;" "&amp;C358</f>
        <v>Pooja Reddy</v>
      </c>
      <c r="Z358" s="0" t="str">
        <f aca="false">IF(T358&lt;P358,"BeforeTime",IF(T358=P358,"Intime","Late"))</f>
        <v>Intime</v>
      </c>
      <c r="AA358" s="0" t="str">
        <f aca="false">TEXT(J358,"mmm")</f>
        <v>Dec</v>
      </c>
      <c r="AB358" s="0" t="e">
        <f aca="false">xlookup(L358,Products!A:A,Products!B:B,"")</f>
        <v>#NAME?</v>
      </c>
    </row>
    <row r="359" customFormat="false" ht="15" hidden="false" customHeight="false" outlineLevel="0" collapsed="false">
      <c r="A359" s="0" t="s">
        <v>547</v>
      </c>
      <c r="B359" s="0" t="s">
        <v>86</v>
      </c>
      <c r="C359" s="0" t="s">
        <v>368</v>
      </c>
      <c r="D359" s="0" t="n">
        <v>56</v>
      </c>
      <c r="E359" s="0" t="s">
        <v>48</v>
      </c>
      <c r="F359" s="0" t="s">
        <v>160</v>
      </c>
      <c r="G359" s="0" t="s">
        <v>1744</v>
      </c>
      <c r="H359" s="0" t="s">
        <v>1745</v>
      </c>
      <c r="I359" s="0" t="s">
        <v>1746</v>
      </c>
      <c r="J359" s="4" t="n">
        <v>45956</v>
      </c>
      <c r="K359" s="0" t="s">
        <v>1747</v>
      </c>
      <c r="L359" s="0" t="s">
        <v>82</v>
      </c>
      <c r="M359" s="5" t="n">
        <v>1199</v>
      </c>
      <c r="N359" s="0" t="n">
        <v>3</v>
      </c>
      <c r="O359" s="0" t="s">
        <v>259</v>
      </c>
      <c r="P359" s="0" t="n">
        <v>2</v>
      </c>
      <c r="Q359" s="5" t="n">
        <v>90</v>
      </c>
      <c r="R359" s="4" t="n">
        <v>45958</v>
      </c>
      <c r="S359" s="0" t="s">
        <v>1748</v>
      </c>
      <c r="T359" s="0" t="n">
        <f aca="false">R359-J359</f>
        <v>2</v>
      </c>
      <c r="U359" s="5" t="n">
        <f aca="false">M359*N359</f>
        <v>3597</v>
      </c>
      <c r="V359" s="6" t="n">
        <f aca="false">IF(O359="FLAT5",5%,IF(O359="FLAT10",10%,IF(O359="FLAT15",15%,IF(O359="FLAT20",20%,0))))</f>
        <v>0</v>
      </c>
      <c r="W359" s="5" t="n">
        <f aca="false">U359*(1-V359)</f>
        <v>3597</v>
      </c>
      <c r="X359" s="5" t="n">
        <f aca="false">W359+IF(O359="DEL0",0,Q359)</f>
        <v>3687</v>
      </c>
      <c r="Y359" s="0" t="str">
        <f aca="false">B359&amp;" "&amp;C359</f>
        <v>Rahul Das</v>
      </c>
      <c r="Z359" s="0" t="str">
        <f aca="false">IF(T359&lt;P359,"BeforeTime",IF(T359=P359,"Intime","Late"))</f>
        <v>Intime</v>
      </c>
      <c r="AA359" s="0" t="str">
        <f aca="false">TEXT(J359,"mmm")</f>
        <v>Oct</v>
      </c>
      <c r="AB359" s="0" t="e">
        <f aca="false">xlookup(L359,Products!A:A,Products!B:B,"")</f>
        <v>#NAME?</v>
      </c>
    </row>
    <row r="360" customFormat="false" ht="15" hidden="false" customHeight="false" outlineLevel="0" collapsed="false">
      <c r="A360" s="0" t="s">
        <v>834</v>
      </c>
      <c r="B360" s="0" t="s">
        <v>139</v>
      </c>
      <c r="C360" s="0" t="s">
        <v>417</v>
      </c>
      <c r="D360" s="0" t="n">
        <v>27</v>
      </c>
      <c r="E360" s="0" t="s">
        <v>48</v>
      </c>
      <c r="F360" s="0" t="s">
        <v>202</v>
      </c>
      <c r="G360" s="0" t="s">
        <v>1749</v>
      </c>
      <c r="H360" s="0" t="s">
        <v>810</v>
      </c>
      <c r="I360" s="0" t="s">
        <v>1750</v>
      </c>
      <c r="J360" s="4" t="n">
        <v>45859</v>
      </c>
      <c r="K360" s="0" t="s">
        <v>1751</v>
      </c>
      <c r="L360" s="0" t="s">
        <v>100</v>
      </c>
      <c r="M360" s="5" t="n">
        <v>999</v>
      </c>
      <c r="N360" s="0" t="n">
        <v>4</v>
      </c>
      <c r="O360" s="0" t="s">
        <v>54</v>
      </c>
      <c r="P360" s="0" t="n">
        <v>7</v>
      </c>
      <c r="Q360" s="5" t="n">
        <v>0</v>
      </c>
      <c r="R360" s="4" t="n">
        <v>45866</v>
      </c>
      <c r="S360" s="0" t="s">
        <v>73</v>
      </c>
      <c r="T360" s="0" t="n">
        <f aca="false">R360-J360</f>
        <v>7</v>
      </c>
      <c r="U360" s="5" t="n">
        <f aca="false">M360*N360</f>
        <v>3996</v>
      </c>
      <c r="V360" s="6" t="n">
        <f aca="false">IF(O360="FLAT5",5%,IF(O360="FLAT10",10%,IF(O360="FLAT15",15%,IF(O360="FLAT20",20%,0))))</f>
        <v>0</v>
      </c>
      <c r="W360" s="5" t="n">
        <f aca="false">U360*(1-V360)</f>
        <v>3996</v>
      </c>
      <c r="X360" s="5" t="n">
        <f aca="false">W360+IF(O360="DEL0",0,Q360)</f>
        <v>3996</v>
      </c>
      <c r="Y360" s="0" t="str">
        <f aca="false">B360&amp;" "&amp;C360</f>
        <v>Aarav Mehta</v>
      </c>
      <c r="Z360" s="0" t="str">
        <f aca="false">IF(T360&lt;P360,"BeforeTime",IF(T360=P360,"Intime","Late"))</f>
        <v>Intime</v>
      </c>
      <c r="AA360" s="0" t="str">
        <f aca="false">TEXT(J360,"mmm")</f>
        <v>Jul</v>
      </c>
      <c r="AB360" s="0" t="e">
        <f aca="false">xlookup(L360,Products!A:A,Products!B:B,"")</f>
        <v>#NAME?</v>
      </c>
    </row>
    <row r="361" customFormat="false" ht="15" hidden="false" customHeight="false" outlineLevel="0" collapsed="false">
      <c r="A361" s="0" t="s">
        <v>475</v>
      </c>
      <c r="B361" s="0" t="s">
        <v>582</v>
      </c>
      <c r="C361" s="0" t="s">
        <v>167</v>
      </c>
      <c r="D361" s="0" t="n">
        <v>28</v>
      </c>
      <c r="E361" s="0" t="s">
        <v>36</v>
      </c>
      <c r="F361" s="0" t="s">
        <v>77</v>
      </c>
      <c r="G361" s="0" t="s">
        <v>1752</v>
      </c>
      <c r="H361" s="0" t="s">
        <v>1618</v>
      </c>
      <c r="I361" s="0" t="s">
        <v>1753</v>
      </c>
      <c r="J361" s="4" t="n">
        <v>45736</v>
      </c>
      <c r="K361" s="0" t="s">
        <v>44</v>
      </c>
      <c r="L361" s="0" t="s">
        <v>136</v>
      </c>
      <c r="M361" s="5" t="n">
        <v>1799</v>
      </c>
      <c r="N361" s="0" t="n">
        <v>3</v>
      </c>
      <c r="O361" s="0" t="s">
        <v>54</v>
      </c>
      <c r="P361" s="0" t="n">
        <v>4</v>
      </c>
      <c r="Q361" s="5" t="n">
        <v>0</v>
      </c>
      <c r="R361" s="4" t="n">
        <v>45742</v>
      </c>
      <c r="S361" s="0" t="s">
        <v>1754</v>
      </c>
      <c r="T361" s="0" t="n">
        <f aca="false">R361-J361</f>
        <v>6</v>
      </c>
      <c r="U361" s="5" t="n">
        <f aca="false">M361*N361</f>
        <v>5397</v>
      </c>
      <c r="V361" s="6" t="n">
        <f aca="false">IF(O361="FLAT5",5%,IF(O361="FLAT10",10%,IF(O361="FLAT15",15%,IF(O361="FLAT20",20%,0))))</f>
        <v>0</v>
      </c>
      <c r="W361" s="5" t="n">
        <f aca="false">U361*(1-V361)</f>
        <v>5397</v>
      </c>
      <c r="X361" s="5" t="n">
        <f aca="false">W361+IF(O361="DEL0",0,Q361)</f>
        <v>5397</v>
      </c>
      <c r="Y361" s="0" t="str">
        <f aca="false">B361&amp;" "&amp;C361</f>
        <v>Kavya Chowdhury</v>
      </c>
      <c r="Z361" s="0" t="str">
        <f aca="false">IF(T361&lt;P361,"BeforeTime",IF(T361=P361,"Intime","Late"))</f>
        <v>Late</v>
      </c>
      <c r="AA361" s="0" t="str">
        <f aca="false">TEXT(J361,"mmm")</f>
        <v>Mar</v>
      </c>
      <c r="AB361" s="0" t="e">
        <f aca="false">xlookup(L361,Products!A:A,Products!B:B,"")</f>
        <v>#NAME?</v>
      </c>
    </row>
    <row r="362" customFormat="false" ht="15" hidden="false" customHeight="false" outlineLevel="0" collapsed="false">
      <c r="A362" s="0" t="s">
        <v>1755</v>
      </c>
      <c r="B362" s="0" t="s">
        <v>147</v>
      </c>
      <c r="C362" s="0" t="s">
        <v>95</v>
      </c>
      <c r="D362" s="0" t="n">
        <v>28</v>
      </c>
      <c r="E362" s="0" t="s">
        <v>36</v>
      </c>
      <c r="F362" s="0" t="s">
        <v>262</v>
      </c>
      <c r="G362" s="0" t="s">
        <v>1756</v>
      </c>
      <c r="H362" s="0" t="s">
        <v>1436</v>
      </c>
      <c r="I362" s="0" t="s">
        <v>1757</v>
      </c>
      <c r="J362" s="4" t="n">
        <v>46014</v>
      </c>
      <c r="K362" s="0" t="s">
        <v>1758</v>
      </c>
      <c r="L362" s="0" t="s">
        <v>119</v>
      </c>
      <c r="M362" s="5" t="n">
        <v>899</v>
      </c>
      <c r="N362" s="0" t="n">
        <v>4</v>
      </c>
      <c r="O362" s="0" t="s">
        <v>259</v>
      </c>
      <c r="P362" s="0" t="n">
        <v>6</v>
      </c>
      <c r="Q362" s="5" t="n">
        <v>75</v>
      </c>
      <c r="R362" s="4" t="n">
        <v>46022</v>
      </c>
      <c r="S362" s="0" t="s">
        <v>1383</v>
      </c>
      <c r="T362" s="0" t="n">
        <f aca="false">R362-J362</f>
        <v>8</v>
      </c>
      <c r="U362" s="5" t="n">
        <f aca="false">M362*N362</f>
        <v>3596</v>
      </c>
      <c r="V362" s="6" t="n">
        <f aca="false">IF(O362="FLAT5",5%,IF(O362="FLAT10",10%,IF(O362="FLAT15",15%,IF(O362="FLAT20",20%,0))))</f>
        <v>0</v>
      </c>
      <c r="W362" s="5" t="n">
        <f aca="false">U362*(1-V362)</f>
        <v>3596</v>
      </c>
      <c r="X362" s="5" t="n">
        <f aca="false">W362+IF(O362="DEL0",0,Q362)</f>
        <v>3671</v>
      </c>
      <c r="Y362" s="0" t="str">
        <f aca="false">B362&amp;" "&amp;C362</f>
        <v>Pooja Mishra</v>
      </c>
      <c r="Z362" s="0" t="str">
        <f aca="false">IF(T362&lt;P362,"BeforeTime",IF(T362=P362,"Intime","Late"))</f>
        <v>Late</v>
      </c>
      <c r="AA362" s="0" t="str">
        <f aca="false">TEXT(J362,"mmm")</f>
        <v>Dec</v>
      </c>
      <c r="AB362" s="0" t="e">
        <f aca="false">xlookup(L362,Products!A:A,Products!B:B,"")</f>
        <v>#NAME?</v>
      </c>
    </row>
    <row r="363" customFormat="false" ht="15" hidden="false" customHeight="false" outlineLevel="0" collapsed="false">
      <c r="A363" s="0" t="s">
        <v>481</v>
      </c>
      <c r="B363" s="0" t="s">
        <v>405</v>
      </c>
      <c r="C363" s="0" t="s">
        <v>113</v>
      </c>
      <c r="D363" s="0" t="n">
        <v>47</v>
      </c>
      <c r="E363" s="0" t="s">
        <v>36</v>
      </c>
      <c r="F363" s="0" t="s">
        <v>124</v>
      </c>
      <c r="G363" s="0" t="s">
        <v>1759</v>
      </c>
      <c r="H363" s="0" t="s">
        <v>1760</v>
      </c>
      <c r="I363" s="0" t="s">
        <v>1761</v>
      </c>
      <c r="J363" s="4" t="n">
        <v>45795</v>
      </c>
      <c r="K363" s="0" t="s">
        <v>1301</v>
      </c>
      <c r="L363" s="0" t="s">
        <v>53</v>
      </c>
      <c r="M363" s="5" t="n">
        <v>2499</v>
      </c>
      <c r="N363" s="0" t="n">
        <v>2</v>
      </c>
      <c r="O363" s="0" t="s">
        <v>54</v>
      </c>
      <c r="P363" s="0" t="n">
        <v>5</v>
      </c>
      <c r="Q363" s="5" t="n">
        <v>0</v>
      </c>
      <c r="R363" s="4" t="n">
        <v>45803</v>
      </c>
      <c r="S363" s="0" t="s">
        <v>526</v>
      </c>
      <c r="T363" s="0" t="n">
        <f aca="false">R363-J363</f>
        <v>8</v>
      </c>
      <c r="U363" s="5" t="n">
        <f aca="false">M363*N363</f>
        <v>4998</v>
      </c>
      <c r="V363" s="6" t="n">
        <f aca="false">IF(O363="FLAT5",5%,IF(O363="FLAT10",10%,IF(O363="FLAT15",15%,IF(O363="FLAT20",20%,0))))</f>
        <v>0</v>
      </c>
      <c r="W363" s="5" t="n">
        <f aca="false">U363*(1-V363)</f>
        <v>4998</v>
      </c>
      <c r="X363" s="5" t="n">
        <f aca="false">W363+IF(O363="DEL0",0,Q363)</f>
        <v>4998</v>
      </c>
      <c r="Y363" s="0" t="str">
        <f aca="false">B363&amp;" "&amp;C363</f>
        <v>Sneha Rao</v>
      </c>
      <c r="Z363" s="0" t="str">
        <f aca="false">IF(T363&lt;P363,"BeforeTime",IF(T363=P363,"Intime","Late"))</f>
        <v>Late</v>
      </c>
      <c r="AA363" s="0" t="str">
        <f aca="false">TEXT(J363,"mmm")</f>
        <v>May</v>
      </c>
      <c r="AB363" s="0" t="e">
        <f aca="false">xlookup(L363,Products!A:A,Products!B:B,"")</f>
        <v>#NAME?</v>
      </c>
    </row>
    <row r="364" customFormat="false" ht="15" hidden="false" customHeight="false" outlineLevel="0" collapsed="false">
      <c r="A364" s="0" t="s">
        <v>839</v>
      </c>
      <c r="B364" s="0" t="s">
        <v>94</v>
      </c>
      <c r="C364" s="0" t="s">
        <v>167</v>
      </c>
      <c r="D364" s="0" t="n">
        <v>25</v>
      </c>
      <c r="E364" s="0" t="s">
        <v>36</v>
      </c>
      <c r="F364" s="0" t="s">
        <v>77</v>
      </c>
      <c r="G364" s="0" t="s">
        <v>1762</v>
      </c>
      <c r="H364" s="0" t="s">
        <v>1252</v>
      </c>
      <c r="I364" s="0" t="s">
        <v>1763</v>
      </c>
      <c r="J364" s="4" t="n">
        <v>45925</v>
      </c>
      <c r="K364" s="0" t="s">
        <v>1764</v>
      </c>
      <c r="L364" s="0" t="s">
        <v>72</v>
      </c>
      <c r="M364" s="5" t="n">
        <v>1299</v>
      </c>
      <c r="N364" s="0" t="n">
        <v>4</v>
      </c>
      <c r="O364" s="0" t="s">
        <v>101</v>
      </c>
      <c r="P364" s="0" t="n">
        <v>6</v>
      </c>
      <c r="Q364" s="5" t="n">
        <v>120</v>
      </c>
      <c r="R364" s="4" t="n">
        <v>45929</v>
      </c>
      <c r="S364" s="0" t="s">
        <v>320</v>
      </c>
      <c r="T364" s="0" t="n">
        <f aca="false">R364-J364</f>
        <v>4</v>
      </c>
      <c r="U364" s="5" t="n">
        <f aca="false">M364*N364</f>
        <v>5196</v>
      </c>
      <c r="V364" s="6" t="n">
        <f aca="false">IF(O364="FLAT5",5%,IF(O364="FLAT10",10%,IF(O364="FLAT15",15%,IF(O364="FLAT20",20%,0))))</f>
        <v>0.15</v>
      </c>
      <c r="W364" s="5" t="n">
        <f aca="false">U364*(1-V364)</f>
        <v>4416.6</v>
      </c>
      <c r="X364" s="5" t="n">
        <f aca="false">W364+IF(O364="DEL0",0,Q364)</f>
        <v>4536.6</v>
      </c>
      <c r="Y364" s="0" t="str">
        <f aca="false">B364&amp;" "&amp;C364</f>
        <v>Manoj Chowdhury</v>
      </c>
      <c r="Z364" s="0" t="str">
        <f aca="false">IF(T364&lt;P364,"BeforeTime",IF(T364=P364,"Intime","Late"))</f>
        <v>BeforeTime</v>
      </c>
      <c r="AA364" s="0" t="str">
        <f aca="false">TEXT(J364,"mmm")</f>
        <v>Sep</v>
      </c>
      <c r="AB364" s="0" t="e">
        <f aca="false">xlookup(L364,Products!A:A,Products!B:B,"")</f>
        <v>#NAME?</v>
      </c>
    </row>
    <row r="365" customFormat="false" ht="15" hidden="false" customHeight="false" outlineLevel="0" collapsed="false">
      <c r="A365" s="0" t="s">
        <v>1108</v>
      </c>
      <c r="B365" s="0" t="s">
        <v>94</v>
      </c>
      <c r="C365" s="0" t="s">
        <v>368</v>
      </c>
      <c r="D365" s="0" t="n">
        <v>23</v>
      </c>
      <c r="E365" s="0" t="s">
        <v>48</v>
      </c>
      <c r="F365" s="0" t="s">
        <v>77</v>
      </c>
      <c r="G365" s="0" t="s">
        <v>1765</v>
      </c>
      <c r="H365" s="0" t="s">
        <v>1766</v>
      </c>
      <c r="I365" s="0" t="s">
        <v>1767</v>
      </c>
      <c r="J365" s="4" t="n">
        <v>45898</v>
      </c>
      <c r="K365" s="0" t="s">
        <v>1768</v>
      </c>
      <c r="L365" s="0" t="s">
        <v>110</v>
      </c>
      <c r="M365" s="5" t="n">
        <v>1499</v>
      </c>
      <c r="N365" s="0" t="n">
        <v>4</v>
      </c>
      <c r="O365" s="0" t="s">
        <v>101</v>
      </c>
      <c r="P365" s="0" t="n">
        <v>6</v>
      </c>
      <c r="Q365" s="5" t="n">
        <v>75</v>
      </c>
      <c r="R365" s="4" t="n">
        <v>45904</v>
      </c>
      <c r="S365" s="0" t="s">
        <v>1149</v>
      </c>
      <c r="T365" s="0" t="n">
        <f aca="false">R365-J365</f>
        <v>6</v>
      </c>
      <c r="U365" s="5" t="n">
        <f aca="false">M365*N365</f>
        <v>5996</v>
      </c>
      <c r="V365" s="6" t="n">
        <f aca="false">IF(O365="FLAT5",5%,IF(O365="FLAT10",10%,IF(O365="FLAT15",15%,IF(O365="FLAT20",20%,0))))</f>
        <v>0.15</v>
      </c>
      <c r="W365" s="5" t="n">
        <f aca="false">U365*(1-V365)</f>
        <v>5096.6</v>
      </c>
      <c r="X365" s="5" t="n">
        <f aca="false">W365+IF(O365="DEL0",0,Q365)</f>
        <v>5171.6</v>
      </c>
      <c r="Y365" s="0" t="str">
        <f aca="false">B365&amp;" "&amp;C365</f>
        <v>Manoj Das</v>
      </c>
      <c r="Z365" s="0" t="str">
        <f aca="false">IF(T365&lt;P365,"BeforeTime",IF(T365=P365,"Intime","Late"))</f>
        <v>Intime</v>
      </c>
      <c r="AA365" s="0" t="str">
        <f aca="false">TEXT(J365,"mmm")</f>
        <v>Aug</v>
      </c>
      <c r="AB365" s="0" t="e">
        <f aca="false">xlookup(L365,Products!A:A,Products!B:B,"")</f>
        <v>#NAME?</v>
      </c>
    </row>
    <row r="366" customFormat="false" ht="15" hidden="false" customHeight="false" outlineLevel="0" collapsed="false">
      <c r="A366" s="0" t="s">
        <v>1586</v>
      </c>
      <c r="B366" s="0" t="s">
        <v>104</v>
      </c>
      <c r="C366" s="0" t="s">
        <v>368</v>
      </c>
      <c r="D366" s="0" t="n">
        <v>56</v>
      </c>
      <c r="E366" s="0" t="s">
        <v>48</v>
      </c>
      <c r="F366" s="0" t="s">
        <v>202</v>
      </c>
      <c r="G366" s="0" t="s">
        <v>1769</v>
      </c>
      <c r="H366" s="0" t="s">
        <v>1770</v>
      </c>
      <c r="I366" s="0" t="s">
        <v>1771</v>
      </c>
      <c r="J366" s="4" t="n">
        <v>45951</v>
      </c>
      <c r="K366" s="0" t="s">
        <v>1772</v>
      </c>
      <c r="L366" s="0" t="s">
        <v>119</v>
      </c>
      <c r="M366" s="5" t="n">
        <v>899</v>
      </c>
      <c r="N366" s="0" t="n">
        <v>4</v>
      </c>
      <c r="O366" s="0" t="s">
        <v>101</v>
      </c>
      <c r="P366" s="0" t="n">
        <v>2</v>
      </c>
      <c r="Q366" s="5" t="n">
        <v>60</v>
      </c>
      <c r="R366" s="4" t="n">
        <v>45953</v>
      </c>
      <c r="S366" s="0" t="s">
        <v>1773</v>
      </c>
      <c r="T366" s="0" t="n">
        <f aca="false">R366-J366</f>
        <v>2</v>
      </c>
      <c r="U366" s="5" t="n">
        <f aca="false">M366*N366</f>
        <v>3596</v>
      </c>
      <c r="V366" s="6" t="n">
        <f aca="false">IF(O366="FLAT5",5%,IF(O366="FLAT10",10%,IF(O366="FLAT15",15%,IF(O366="FLAT20",20%,0))))</f>
        <v>0.15</v>
      </c>
      <c r="W366" s="5" t="n">
        <f aca="false">U366*(1-V366)</f>
        <v>3056.6</v>
      </c>
      <c r="X366" s="5" t="n">
        <f aca="false">W366+IF(O366="DEL0",0,Q366)</f>
        <v>3116.6</v>
      </c>
      <c r="Y366" s="0" t="str">
        <f aca="false">B366&amp;" "&amp;C366</f>
        <v>Keerthi Das</v>
      </c>
      <c r="Z366" s="0" t="str">
        <f aca="false">IF(T366&lt;P366,"BeforeTime",IF(T366=P366,"Intime","Late"))</f>
        <v>Intime</v>
      </c>
      <c r="AA366" s="0" t="str">
        <f aca="false">TEXT(J366,"mmm")</f>
        <v>Oct</v>
      </c>
      <c r="AB366" s="0" t="e">
        <f aca="false">xlookup(L366,Products!A:A,Products!B:B,"")</f>
        <v>#NAME?</v>
      </c>
    </row>
    <row r="367" customFormat="false" ht="15" hidden="false" customHeight="false" outlineLevel="0" collapsed="false">
      <c r="A367" s="0" t="s">
        <v>1121</v>
      </c>
      <c r="B367" s="0" t="s">
        <v>209</v>
      </c>
      <c r="C367" s="0" t="s">
        <v>76</v>
      </c>
      <c r="D367" s="0" t="n">
        <v>37</v>
      </c>
      <c r="E367" s="0" t="s">
        <v>48</v>
      </c>
      <c r="F367" s="0" t="s">
        <v>262</v>
      </c>
      <c r="G367" s="0" t="s">
        <v>1774</v>
      </c>
      <c r="H367" s="0" t="s">
        <v>1775</v>
      </c>
      <c r="I367" s="0" t="s">
        <v>1776</v>
      </c>
      <c r="J367" s="4" t="n">
        <v>45789</v>
      </c>
      <c r="K367" s="0" t="s">
        <v>1196</v>
      </c>
      <c r="L367" s="0" t="s">
        <v>64</v>
      </c>
      <c r="M367" s="5" t="n">
        <v>2799</v>
      </c>
      <c r="N367" s="0" t="n">
        <v>3</v>
      </c>
      <c r="O367" s="0" t="s">
        <v>91</v>
      </c>
      <c r="P367" s="0" t="n">
        <v>2</v>
      </c>
      <c r="Q367" s="5" t="n">
        <v>90</v>
      </c>
      <c r="R367" s="4" t="n">
        <v>45791</v>
      </c>
      <c r="S367" s="0" t="s">
        <v>1113</v>
      </c>
      <c r="T367" s="0" t="n">
        <f aca="false">R367-J367</f>
        <v>2</v>
      </c>
      <c r="U367" s="5" t="n">
        <f aca="false">M367*N367</f>
        <v>8397</v>
      </c>
      <c r="V367" s="6" t="n">
        <f aca="false">IF(O367="FLAT5",5%,IF(O367="FLAT10",10%,IF(O367="FLAT15",15%,IF(O367="FLAT20",20%,0))))</f>
        <v>0.1</v>
      </c>
      <c r="W367" s="5" t="n">
        <f aca="false">U367*(1-V367)</f>
        <v>7557.3</v>
      </c>
      <c r="X367" s="5" t="n">
        <f aca="false">W367+IF(O367="DEL0",0,Q367)</f>
        <v>7647.3</v>
      </c>
      <c r="Y367" s="0" t="str">
        <f aca="false">B367&amp;" "&amp;C367</f>
        <v>Ishaan Patel</v>
      </c>
      <c r="Z367" s="0" t="str">
        <f aca="false">IF(T367&lt;P367,"BeforeTime",IF(T367=P367,"Intime","Late"))</f>
        <v>Intime</v>
      </c>
      <c r="AA367" s="0" t="str">
        <f aca="false">TEXT(J367,"mmm")</f>
        <v>May</v>
      </c>
      <c r="AB367" s="0" t="e">
        <f aca="false">xlookup(L367,Products!A:A,Products!B:B,"")</f>
        <v>#NAME?</v>
      </c>
    </row>
    <row r="368" customFormat="false" ht="15" hidden="false" customHeight="false" outlineLevel="0" collapsed="false">
      <c r="A368" s="0" t="s">
        <v>1285</v>
      </c>
      <c r="B368" s="0" t="s">
        <v>582</v>
      </c>
      <c r="C368" s="0" t="s">
        <v>181</v>
      </c>
      <c r="D368" s="0" t="n">
        <v>35</v>
      </c>
      <c r="E368" s="0" t="s">
        <v>48</v>
      </c>
      <c r="F368" s="0" t="s">
        <v>262</v>
      </c>
      <c r="G368" s="0" t="s">
        <v>1777</v>
      </c>
      <c r="H368" s="0" t="s">
        <v>544</v>
      </c>
      <c r="I368" s="0" t="s">
        <v>1778</v>
      </c>
      <c r="J368" s="4" t="n">
        <v>45701</v>
      </c>
      <c r="K368" s="0" t="s">
        <v>286</v>
      </c>
      <c r="L368" s="0" t="s">
        <v>240</v>
      </c>
      <c r="M368" s="5" t="n">
        <v>4999</v>
      </c>
      <c r="N368" s="0" t="n">
        <v>1</v>
      </c>
      <c r="O368" s="0" t="s">
        <v>91</v>
      </c>
      <c r="P368" s="0" t="n">
        <v>3</v>
      </c>
      <c r="Q368" s="5" t="n">
        <v>50</v>
      </c>
      <c r="R368" s="4" t="n">
        <v>45704</v>
      </c>
      <c r="S368" s="0" t="s">
        <v>73</v>
      </c>
      <c r="T368" s="0" t="n">
        <f aca="false">R368-J368</f>
        <v>3</v>
      </c>
      <c r="U368" s="5" t="n">
        <f aca="false">M368*N368</f>
        <v>4999</v>
      </c>
      <c r="V368" s="6" t="n">
        <f aca="false">IF(O368="FLAT5",5%,IF(O368="FLAT10",10%,IF(O368="FLAT15",15%,IF(O368="FLAT20",20%,0))))</f>
        <v>0.1</v>
      </c>
      <c r="W368" s="5" t="n">
        <f aca="false">U368*(1-V368)</f>
        <v>4499.1</v>
      </c>
      <c r="X368" s="5" t="n">
        <f aca="false">W368+IF(O368="DEL0",0,Q368)</f>
        <v>4549.1</v>
      </c>
      <c r="Y368" s="0" t="str">
        <f aca="false">B368&amp;" "&amp;C368</f>
        <v>Kavya Gupta</v>
      </c>
      <c r="Z368" s="0" t="str">
        <f aca="false">IF(T368&lt;P368,"BeforeTime",IF(T368=P368,"Intime","Late"))</f>
        <v>Intime</v>
      </c>
      <c r="AA368" s="0" t="str">
        <f aca="false">TEXT(J368,"mmm")</f>
        <v>Feb</v>
      </c>
      <c r="AB368" s="0" t="e">
        <f aca="false">xlookup(L368,Products!A:A,Products!B:B,"")</f>
        <v>#NAME?</v>
      </c>
    </row>
    <row r="369" customFormat="false" ht="15" hidden="false" customHeight="false" outlineLevel="0" collapsed="false">
      <c r="A369" s="0" t="s">
        <v>1272</v>
      </c>
      <c r="B369" s="0" t="s">
        <v>394</v>
      </c>
      <c r="C369" s="0" t="s">
        <v>113</v>
      </c>
      <c r="D369" s="0" t="n">
        <v>33</v>
      </c>
      <c r="E369" s="0" t="s">
        <v>48</v>
      </c>
      <c r="F369" s="0" t="s">
        <v>202</v>
      </c>
      <c r="G369" s="0" t="s">
        <v>1779</v>
      </c>
      <c r="H369" s="0" t="s">
        <v>1780</v>
      </c>
      <c r="I369" s="0" t="s">
        <v>1781</v>
      </c>
      <c r="J369" s="4" t="n">
        <v>45717</v>
      </c>
      <c r="K369" s="0" t="s">
        <v>379</v>
      </c>
      <c r="L369" s="0" t="s">
        <v>119</v>
      </c>
      <c r="M369" s="5" t="n">
        <v>899</v>
      </c>
      <c r="N369" s="0" t="n">
        <v>3</v>
      </c>
      <c r="O369" s="0" t="s">
        <v>54</v>
      </c>
      <c r="P369" s="0" t="n">
        <v>2</v>
      </c>
      <c r="Q369" s="5" t="n">
        <v>0</v>
      </c>
      <c r="R369" s="4" t="n">
        <v>45718</v>
      </c>
      <c r="S369" s="0" t="s">
        <v>1636</v>
      </c>
      <c r="T369" s="0" t="n">
        <f aca="false">R369-J369</f>
        <v>1</v>
      </c>
      <c r="U369" s="5" t="n">
        <f aca="false">M369*N369</f>
        <v>2697</v>
      </c>
      <c r="V369" s="6" t="n">
        <f aca="false">IF(O369="FLAT5",5%,IF(O369="FLAT10",10%,IF(O369="FLAT15",15%,IF(O369="FLAT20",20%,0))))</f>
        <v>0</v>
      </c>
      <c r="W369" s="5" t="n">
        <f aca="false">U369*(1-V369)</f>
        <v>2697</v>
      </c>
      <c r="X369" s="5" t="n">
        <f aca="false">W369+IF(O369="DEL0",0,Q369)</f>
        <v>2697</v>
      </c>
      <c r="Y369" s="0" t="str">
        <f aca="false">B369&amp;" "&amp;C369</f>
        <v>Kiran Rao</v>
      </c>
      <c r="Z369" s="0" t="str">
        <f aca="false">IF(T369&lt;P369,"BeforeTime",IF(T369=P369,"Intime","Late"))</f>
        <v>BeforeTime</v>
      </c>
      <c r="AA369" s="0" t="str">
        <f aca="false">TEXT(J369,"mmm")</f>
        <v>Mar</v>
      </c>
      <c r="AB369" s="0" t="e">
        <f aca="false">xlookup(L369,Products!A:A,Products!B:B,"")</f>
        <v>#NAME?</v>
      </c>
    </row>
    <row r="370" customFormat="false" ht="15" hidden="false" customHeight="false" outlineLevel="0" collapsed="false">
      <c r="A370" s="0" t="s">
        <v>439</v>
      </c>
      <c r="B370" s="0" t="s">
        <v>294</v>
      </c>
      <c r="C370" s="0" t="s">
        <v>58</v>
      </c>
      <c r="D370" s="0" t="n">
        <v>50</v>
      </c>
      <c r="E370" s="0" t="s">
        <v>48</v>
      </c>
      <c r="F370" s="0" t="s">
        <v>262</v>
      </c>
      <c r="G370" s="0" t="s">
        <v>1782</v>
      </c>
      <c r="H370" s="0" t="s">
        <v>1400</v>
      </c>
      <c r="I370" s="0" t="s">
        <v>1783</v>
      </c>
      <c r="J370" s="4" t="n">
        <v>45887</v>
      </c>
      <c r="K370" s="0" t="s">
        <v>399</v>
      </c>
      <c r="L370" s="0" t="s">
        <v>240</v>
      </c>
      <c r="M370" s="5" t="n">
        <v>4999</v>
      </c>
      <c r="N370" s="0" t="n">
        <v>4</v>
      </c>
      <c r="O370" s="0" t="s">
        <v>83</v>
      </c>
      <c r="P370" s="0" t="n">
        <v>5</v>
      </c>
      <c r="Q370" s="5" t="n">
        <v>90</v>
      </c>
      <c r="R370" s="4" t="n">
        <v>45892</v>
      </c>
      <c r="S370" s="0" t="s">
        <v>1784</v>
      </c>
      <c r="T370" s="0" t="n">
        <f aca="false">R370-J370</f>
        <v>5</v>
      </c>
      <c r="U370" s="5" t="n">
        <f aca="false">M370*N370</f>
        <v>19996</v>
      </c>
      <c r="V370" s="6" t="n">
        <f aca="false">IF(O370="FLAT5",5%,IF(O370="FLAT10",10%,IF(O370="FLAT15",15%,IF(O370="FLAT20",20%,0))))</f>
        <v>0.05</v>
      </c>
      <c r="W370" s="5" t="n">
        <f aca="false">U370*(1-V370)</f>
        <v>18996.2</v>
      </c>
      <c r="X370" s="5" t="n">
        <f aca="false">W370+IF(O370="DEL0",0,Q370)</f>
        <v>19086.2</v>
      </c>
      <c r="Y370" s="0" t="str">
        <f aca="false">B370&amp;" "&amp;C370</f>
        <v>Aditya Iyer</v>
      </c>
      <c r="Z370" s="0" t="str">
        <f aca="false">IF(T370&lt;P370,"BeforeTime",IF(T370=P370,"Intime","Late"))</f>
        <v>Intime</v>
      </c>
      <c r="AA370" s="0" t="str">
        <f aca="false">TEXT(J370,"mmm")</f>
        <v>Aug</v>
      </c>
      <c r="AB370" s="0" t="e">
        <f aca="false">xlookup(L370,Products!A:A,Products!B:B,"")</f>
        <v>#NAME?</v>
      </c>
    </row>
    <row r="371" customFormat="false" ht="15" hidden="false" customHeight="false" outlineLevel="0" collapsed="false">
      <c r="A371" s="0" t="s">
        <v>914</v>
      </c>
      <c r="B371" s="0" t="s">
        <v>282</v>
      </c>
      <c r="C371" s="0" t="s">
        <v>181</v>
      </c>
      <c r="D371" s="0" t="n">
        <v>41</v>
      </c>
      <c r="E371" s="0" t="s">
        <v>48</v>
      </c>
      <c r="F371" s="0" t="s">
        <v>114</v>
      </c>
      <c r="G371" s="0" t="s">
        <v>1785</v>
      </c>
      <c r="H371" s="0" t="s">
        <v>1775</v>
      </c>
      <c r="I371" s="0" t="s">
        <v>1786</v>
      </c>
      <c r="J371" s="4" t="n">
        <v>45858</v>
      </c>
      <c r="K371" s="0" t="s">
        <v>1787</v>
      </c>
      <c r="L371" s="0" t="s">
        <v>129</v>
      </c>
      <c r="M371" s="5" t="n">
        <v>2999</v>
      </c>
      <c r="N371" s="0" t="n">
        <v>3</v>
      </c>
      <c r="O371" s="0" t="s">
        <v>43</v>
      </c>
      <c r="P371" s="0" t="n">
        <v>5</v>
      </c>
      <c r="Q371" s="5" t="n">
        <v>120</v>
      </c>
      <c r="R371" s="4" t="n">
        <v>45865</v>
      </c>
      <c r="S371" s="0" t="s">
        <v>1788</v>
      </c>
      <c r="T371" s="0" t="n">
        <f aca="false">R371-J371</f>
        <v>7</v>
      </c>
      <c r="U371" s="5" t="n">
        <f aca="false">M371*N371</f>
        <v>8997</v>
      </c>
      <c r="V371" s="6" t="n">
        <f aca="false">IF(O371="FLAT5",5%,IF(O371="FLAT10",10%,IF(O371="FLAT15",15%,IF(O371="FLAT20",20%,0))))</f>
        <v>0.2</v>
      </c>
      <c r="W371" s="5" t="n">
        <f aca="false">U371*(1-V371)</f>
        <v>7197.6</v>
      </c>
      <c r="X371" s="5" t="n">
        <f aca="false">W371+IF(O371="DEL0",0,Q371)</f>
        <v>7317.6</v>
      </c>
      <c r="Y371" s="0" t="str">
        <f aca="false">B371&amp;" "&amp;C371</f>
        <v>Nisha Gupta</v>
      </c>
      <c r="Z371" s="0" t="str">
        <f aca="false">IF(T371&lt;P371,"BeforeTime",IF(T371=P371,"Intime","Late"))</f>
        <v>Late</v>
      </c>
      <c r="AA371" s="0" t="str">
        <f aca="false">TEXT(J371,"mmm")</f>
        <v>Jul</v>
      </c>
      <c r="AB371" s="0" t="e">
        <f aca="false">xlookup(L371,Products!A:A,Products!B:B,"")</f>
        <v>#NAME?</v>
      </c>
    </row>
    <row r="372" customFormat="false" ht="15" hidden="false" customHeight="false" outlineLevel="0" collapsed="false">
      <c r="A372" s="0" t="s">
        <v>471</v>
      </c>
      <c r="B372" s="0" t="s">
        <v>582</v>
      </c>
      <c r="C372" s="0" t="s">
        <v>229</v>
      </c>
      <c r="D372" s="0" t="n">
        <v>55</v>
      </c>
      <c r="E372" s="0" t="s">
        <v>36</v>
      </c>
      <c r="F372" s="0" t="s">
        <v>202</v>
      </c>
      <c r="G372" s="0" t="s">
        <v>1789</v>
      </c>
      <c r="H372" s="0" t="s">
        <v>751</v>
      </c>
      <c r="I372" s="0" t="s">
        <v>1790</v>
      </c>
      <c r="J372" s="4" t="n">
        <v>45926</v>
      </c>
      <c r="K372" s="0" t="s">
        <v>1791</v>
      </c>
      <c r="L372" s="0" t="s">
        <v>129</v>
      </c>
      <c r="M372" s="5" t="n">
        <v>2999</v>
      </c>
      <c r="N372" s="0" t="n">
        <v>1</v>
      </c>
      <c r="O372" s="0" t="s">
        <v>91</v>
      </c>
      <c r="P372" s="0" t="n">
        <v>2</v>
      </c>
      <c r="Q372" s="5" t="n">
        <v>60</v>
      </c>
      <c r="R372" s="4" t="n">
        <v>45928</v>
      </c>
      <c r="S372" s="0" t="s">
        <v>1792</v>
      </c>
      <c r="T372" s="0" t="n">
        <f aca="false">R372-J372</f>
        <v>2</v>
      </c>
      <c r="U372" s="5" t="n">
        <f aca="false">M372*N372</f>
        <v>2999</v>
      </c>
      <c r="V372" s="6" t="n">
        <f aca="false">IF(O372="FLAT5",5%,IF(O372="FLAT10",10%,IF(O372="FLAT15",15%,IF(O372="FLAT20",20%,0))))</f>
        <v>0.1</v>
      </c>
      <c r="W372" s="5" t="n">
        <f aca="false">U372*(1-V372)</f>
        <v>2699.1</v>
      </c>
      <c r="X372" s="5" t="n">
        <f aca="false">W372+IF(O372="DEL0",0,Q372)</f>
        <v>2759.1</v>
      </c>
      <c r="Y372" s="0" t="str">
        <f aca="false">B372&amp;" "&amp;C372</f>
        <v>Kavya Joshi</v>
      </c>
      <c r="Z372" s="0" t="str">
        <f aca="false">IF(T372&lt;P372,"BeforeTime",IF(T372=P372,"Intime","Late"))</f>
        <v>Intime</v>
      </c>
      <c r="AA372" s="0" t="str">
        <f aca="false">TEXT(J372,"mmm")</f>
        <v>Sep</v>
      </c>
      <c r="AB372" s="0" t="e">
        <f aca="false">xlookup(L372,Products!A:A,Products!B:B,"")</f>
        <v>#NAME?</v>
      </c>
    </row>
    <row r="373" customFormat="false" ht="15" hidden="false" customHeight="false" outlineLevel="0" collapsed="false">
      <c r="A373" s="0" t="s">
        <v>1793</v>
      </c>
      <c r="B373" s="0" t="s">
        <v>104</v>
      </c>
      <c r="C373" s="0" t="s">
        <v>76</v>
      </c>
      <c r="D373" s="0" t="n">
        <v>23</v>
      </c>
      <c r="E373" s="0" t="s">
        <v>36</v>
      </c>
      <c r="F373" s="0" t="s">
        <v>124</v>
      </c>
      <c r="G373" s="0" t="s">
        <v>1794</v>
      </c>
      <c r="H373" s="0" t="s">
        <v>1221</v>
      </c>
      <c r="I373" s="0" t="s">
        <v>1795</v>
      </c>
      <c r="J373" s="4" t="n">
        <v>45719</v>
      </c>
      <c r="K373" s="0" t="s">
        <v>1682</v>
      </c>
      <c r="L373" s="0" t="s">
        <v>119</v>
      </c>
      <c r="M373" s="5" t="n">
        <v>899</v>
      </c>
      <c r="N373" s="0" t="n">
        <v>1</v>
      </c>
      <c r="O373" s="0" t="s">
        <v>54</v>
      </c>
      <c r="P373" s="0" t="n">
        <v>2</v>
      </c>
      <c r="Q373" s="5" t="n">
        <v>0</v>
      </c>
      <c r="R373" s="4" t="n">
        <v>45723</v>
      </c>
      <c r="S373" s="0" t="s">
        <v>655</v>
      </c>
      <c r="T373" s="0" t="n">
        <f aca="false">R373-J373</f>
        <v>4</v>
      </c>
      <c r="U373" s="5" t="n">
        <f aca="false">M373*N373</f>
        <v>899</v>
      </c>
      <c r="V373" s="6" t="n">
        <f aca="false">IF(O373="FLAT5",5%,IF(O373="FLAT10",10%,IF(O373="FLAT15",15%,IF(O373="FLAT20",20%,0))))</f>
        <v>0</v>
      </c>
      <c r="W373" s="5" t="n">
        <f aca="false">U373*(1-V373)</f>
        <v>899</v>
      </c>
      <c r="X373" s="5" t="n">
        <f aca="false">W373+IF(O373="DEL0",0,Q373)</f>
        <v>899</v>
      </c>
      <c r="Y373" s="0" t="str">
        <f aca="false">B373&amp;" "&amp;C373</f>
        <v>Keerthi Patel</v>
      </c>
      <c r="Z373" s="0" t="str">
        <f aca="false">IF(T373&lt;P373,"BeforeTime",IF(T373=P373,"Intime","Late"))</f>
        <v>Late</v>
      </c>
      <c r="AA373" s="0" t="str">
        <f aca="false">TEXT(J373,"mmm")</f>
        <v>Mar</v>
      </c>
      <c r="AB373" s="0" t="e">
        <f aca="false">xlookup(L373,Products!A:A,Products!B:B,"")</f>
        <v>#NAME?</v>
      </c>
    </row>
    <row r="374" customFormat="false" ht="15" hidden="false" customHeight="false" outlineLevel="0" collapsed="false">
      <c r="A374" s="0" t="s">
        <v>1796</v>
      </c>
      <c r="B374" s="0" t="s">
        <v>582</v>
      </c>
      <c r="C374" s="0" t="s">
        <v>181</v>
      </c>
      <c r="D374" s="0" t="n">
        <v>38</v>
      </c>
      <c r="E374" s="0" t="s">
        <v>48</v>
      </c>
      <c r="F374" s="0" t="s">
        <v>140</v>
      </c>
      <c r="G374" s="0" t="s">
        <v>1797</v>
      </c>
      <c r="H374" s="0" t="s">
        <v>1798</v>
      </c>
      <c r="I374" s="0" t="s">
        <v>1799</v>
      </c>
      <c r="J374" s="4" t="n">
        <v>45799</v>
      </c>
      <c r="K374" s="0" t="s">
        <v>1800</v>
      </c>
      <c r="L374" s="0" t="s">
        <v>119</v>
      </c>
      <c r="M374" s="5" t="n">
        <v>899</v>
      </c>
      <c r="N374" s="0" t="n">
        <v>4</v>
      </c>
      <c r="O374" s="0" t="s">
        <v>259</v>
      </c>
      <c r="P374" s="0" t="n">
        <v>5</v>
      </c>
      <c r="Q374" s="5" t="n">
        <v>120</v>
      </c>
      <c r="R374" s="4" t="n">
        <v>45804</v>
      </c>
      <c r="S374" s="0" t="s">
        <v>1801</v>
      </c>
      <c r="T374" s="0" t="n">
        <f aca="false">R374-J374</f>
        <v>5</v>
      </c>
      <c r="U374" s="5" t="n">
        <f aca="false">M374*N374</f>
        <v>3596</v>
      </c>
      <c r="V374" s="6" t="n">
        <f aca="false">IF(O374="FLAT5",5%,IF(O374="FLAT10",10%,IF(O374="FLAT15",15%,IF(O374="FLAT20",20%,0))))</f>
        <v>0</v>
      </c>
      <c r="W374" s="5" t="n">
        <f aca="false">U374*(1-V374)</f>
        <v>3596</v>
      </c>
      <c r="X374" s="5" t="n">
        <f aca="false">W374+IF(O374="DEL0",0,Q374)</f>
        <v>3716</v>
      </c>
      <c r="Y374" s="0" t="str">
        <f aca="false">B374&amp;" "&amp;C374</f>
        <v>Kavya Gupta</v>
      </c>
      <c r="Z374" s="0" t="str">
        <f aca="false">IF(T374&lt;P374,"BeforeTime",IF(T374=P374,"Intime","Late"))</f>
        <v>Intime</v>
      </c>
      <c r="AA374" s="0" t="str">
        <f aca="false">TEXT(J374,"mmm")</f>
        <v>May</v>
      </c>
      <c r="AB374" s="0" t="e">
        <f aca="false">xlookup(L374,Products!A:A,Products!B:B,"")</f>
        <v>#NAME?</v>
      </c>
    </row>
    <row r="375" customFormat="false" ht="15" hidden="false" customHeight="false" outlineLevel="0" collapsed="false">
      <c r="A375" s="0" t="s">
        <v>1802</v>
      </c>
      <c r="B375" s="0" t="s">
        <v>174</v>
      </c>
      <c r="C375" s="0" t="s">
        <v>58</v>
      </c>
      <c r="D375" s="0" t="n">
        <v>44</v>
      </c>
      <c r="E375" s="0" t="s">
        <v>48</v>
      </c>
      <c r="F375" s="0" t="s">
        <v>202</v>
      </c>
      <c r="G375" s="0" t="s">
        <v>1803</v>
      </c>
      <c r="H375" s="0" t="s">
        <v>1804</v>
      </c>
      <c r="I375" s="0" t="s">
        <v>1805</v>
      </c>
      <c r="J375" s="4" t="n">
        <v>45693</v>
      </c>
      <c r="K375" s="0" t="s">
        <v>1527</v>
      </c>
      <c r="L375" s="0" t="s">
        <v>72</v>
      </c>
      <c r="M375" s="5" t="n">
        <v>1299</v>
      </c>
      <c r="N375" s="0" t="n">
        <v>3</v>
      </c>
      <c r="O375" s="0" t="s">
        <v>83</v>
      </c>
      <c r="P375" s="0" t="n">
        <v>5</v>
      </c>
      <c r="Q375" s="5" t="n">
        <v>90</v>
      </c>
      <c r="R375" s="4" t="n">
        <v>45700</v>
      </c>
      <c r="S375" s="0" t="s">
        <v>321</v>
      </c>
      <c r="T375" s="0" t="n">
        <f aca="false">R375-J375</f>
        <v>7</v>
      </c>
      <c r="U375" s="5" t="n">
        <f aca="false">M375*N375</f>
        <v>3897</v>
      </c>
      <c r="V375" s="6" t="n">
        <f aca="false">IF(O375="FLAT5",5%,IF(O375="FLAT10",10%,IF(O375="FLAT15",15%,IF(O375="FLAT20",20%,0))))</f>
        <v>0.05</v>
      </c>
      <c r="W375" s="5" t="n">
        <f aca="false">U375*(1-V375)</f>
        <v>3702.15</v>
      </c>
      <c r="X375" s="5" t="n">
        <f aca="false">W375+IF(O375="DEL0",0,Q375)</f>
        <v>3792.15</v>
      </c>
      <c r="Y375" s="0" t="str">
        <f aca="false">B375&amp;" "&amp;C375</f>
        <v>Ananya Iyer</v>
      </c>
      <c r="Z375" s="0" t="str">
        <f aca="false">IF(T375&lt;P375,"BeforeTime",IF(T375=P375,"Intime","Late"))</f>
        <v>Late</v>
      </c>
      <c r="AA375" s="0" t="str">
        <f aca="false">TEXT(J375,"mmm")</f>
        <v>Feb</v>
      </c>
      <c r="AB375" s="0" t="e">
        <f aca="false">xlookup(L375,Products!A:A,Products!B:B,"")</f>
        <v>#NAME?</v>
      </c>
    </row>
    <row r="376" customFormat="false" ht="15" hidden="false" customHeight="false" outlineLevel="0" collapsed="false">
      <c r="A376" s="0" t="s">
        <v>1357</v>
      </c>
      <c r="B376" s="0" t="s">
        <v>282</v>
      </c>
      <c r="C376" s="0" t="s">
        <v>47</v>
      </c>
      <c r="D376" s="0" t="n">
        <v>26</v>
      </c>
      <c r="E376" s="0" t="s">
        <v>48</v>
      </c>
      <c r="F376" s="0" t="s">
        <v>114</v>
      </c>
      <c r="G376" s="0" t="s">
        <v>1806</v>
      </c>
      <c r="H376" s="0" t="s">
        <v>916</v>
      </c>
      <c r="I376" s="0" t="s">
        <v>1807</v>
      </c>
      <c r="J376" s="4" t="n">
        <v>45950</v>
      </c>
      <c r="K376" s="0" t="s">
        <v>1764</v>
      </c>
      <c r="L376" s="0" t="s">
        <v>129</v>
      </c>
      <c r="M376" s="5" t="n">
        <v>2999</v>
      </c>
      <c r="N376" s="0" t="n">
        <v>1</v>
      </c>
      <c r="O376" s="0" t="s">
        <v>83</v>
      </c>
      <c r="P376" s="0" t="n">
        <v>7</v>
      </c>
      <c r="Q376" s="5" t="n">
        <v>75</v>
      </c>
      <c r="R376" s="4" t="n">
        <v>45957</v>
      </c>
      <c r="S376" s="0" t="s">
        <v>118</v>
      </c>
      <c r="T376" s="0" t="n">
        <f aca="false">R376-J376</f>
        <v>7</v>
      </c>
      <c r="U376" s="5" t="n">
        <f aca="false">M376*N376</f>
        <v>2999</v>
      </c>
      <c r="V376" s="6" t="n">
        <f aca="false">IF(O376="FLAT5",5%,IF(O376="FLAT10",10%,IF(O376="FLAT15",15%,IF(O376="FLAT20",20%,0))))</f>
        <v>0.05</v>
      </c>
      <c r="W376" s="5" t="n">
        <f aca="false">U376*(1-V376)</f>
        <v>2849.05</v>
      </c>
      <c r="X376" s="5" t="n">
        <f aca="false">W376+IF(O376="DEL0",0,Q376)</f>
        <v>2924.05</v>
      </c>
      <c r="Y376" s="0" t="str">
        <f aca="false">B376&amp;" "&amp;C376</f>
        <v>Nisha Verma</v>
      </c>
      <c r="Z376" s="0" t="str">
        <f aca="false">IF(T376&lt;P376,"BeforeTime",IF(T376=P376,"Intime","Late"))</f>
        <v>Intime</v>
      </c>
      <c r="AA376" s="0" t="str">
        <f aca="false">TEXT(J376,"mmm")</f>
        <v>Oct</v>
      </c>
      <c r="AB376" s="0" t="e">
        <f aca="false">xlookup(L376,Products!A:A,Products!B:B,"")</f>
        <v>#NAME?</v>
      </c>
    </row>
    <row r="377" customFormat="false" ht="15" hidden="false" customHeight="false" outlineLevel="0" collapsed="false">
      <c r="A377" s="0" t="s">
        <v>1259</v>
      </c>
      <c r="B377" s="0" t="s">
        <v>174</v>
      </c>
      <c r="C377" s="0" t="s">
        <v>58</v>
      </c>
      <c r="D377" s="0" t="n">
        <v>37</v>
      </c>
      <c r="E377" s="0" t="s">
        <v>36</v>
      </c>
      <c r="F377" s="0" t="s">
        <v>59</v>
      </c>
      <c r="G377" s="0" t="s">
        <v>1808</v>
      </c>
      <c r="H377" s="0" t="s">
        <v>1809</v>
      </c>
      <c r="I377" s="0" t="s">
        <v>1810</v>
      </c>
      <c r="J377" s="4" t="n">
        <v>45909</v>
      </c>
      <c r="K377" s="0" t="s">
        <v>1811</v>
      </c>
      <c r="L377" s="0" t="s">
        <v>136</v>
      </c>
      <c r="M377" s="5" t="n">
        <v>1799</v>
      </c>
      <c r="N377" s="0" t="n">
        <v>1</v>
      </c>
      <c r="O377" s="0" t="s">
        <v>101</v>
      </c>
      <c r="P377" s="0" t="n">
        <v>5</v>
      </c>
      <c r="Q377" s="5" t="n">
        <v>120</v>
      </c>
      <c r="R377" s="4" t="n">
        <v>45914</v>
      </c>
      <c r="S377" s="0" t="s">
        <v>1275</v>
      </c>
      <c r="T377" s="0" t="n">
        <f aca="false">R377-J377</f>
        <v>5</v>
      </c>
      <c r="U377" s="5" t="n">
        <f aca="false">M377*N377</f>
        <v>1799</v>
      </c>
      <c r="V377" s="6" t="n">
        <f aca="false">IF(O377="FLAT5",5%,IF(O377="FLAT10",10%,IF(O377="FLAT15",15%,IF(O377="FLAT20",20%,0))))</f>
        <v>0.15</v>
      </c>
      <c r="W377" s="5" t="n">
        <f aca="false">U377*(1-V377)</f>
        <v>1529.15</v>
      </c>
      <c r="X377" s="5" t="n">
        <f aca="false">W377+IF(O377="DEL0",0,Q377)</f>
        <v>1649.15</v>
      </c>
      <c r="Y377" s="0" t="str">
        <f aca="false">B377&amp;" "&amp;C377</f>
        <v>Ananya Iyer</v>
      </c>
      <c r="Z377" s="0" t="str">
        <f aca="false">IF(T377&lt;P377,"BeforeTime",IF(T377=P377,"Intime","Late"))</f>
        <v>Intime</v>
      </c>
      <c r="AA377" s="0" t="str">
        <f aca="false">TEXT(J377,"mmm")</f>
        <v>Sep</v>
      </c>
      <c r="AB377" s="0" t="e">
        <f aca="false">xlookup(L377,Products!A:A,Products!B:B,"")</f>
        <v>#NAME?</v>
      </c>
    </row>
    <row r="378" customFormat="false" ht="15" hidden="false" customHeight="false" outlineLevel="0" collapsed="false">
      <c r="A378" s="0" t="s">
        <v>56</v>
      </c>
      <c r="B378" s="0" t="s">
        <v>147</v>
      </c>
      <c r="C378" s="0" t="s">
        <v>261</v>
      </c>
      <c r="D378" s="0" t="n">
        <v>56</v>
      </c>
      <c r="E378" s="0" t="s">
        <v>48</v>
      </c>
      <c r="F378" s="0" t="s">
        <v>59</v>
      </c>
      <c r="G378" s="0" t="s">
        <v>1812</v>
      </c>
      <c r="H378" s="0" t="s">
        <v>1813</v>
      </c>
      <c r="I378" s="0" t="s">
        <v>1814</v>
      </c>
      <c r="J378" s="4" t="n">
        <v>45981</v>
      </c>
      <c r="K378" s="0" t="s">
        <v>234</v>
      </c>
      <c r="L378" s="0" t="s">
        <v>119</v>
      </c>
      <c r="M378" s="5" t="n">
        <v>899</v>
      </c>
      <c r="N378" s="0" t="n">
        <v>3</v>
      </c>
      <c r="O378" s="0" t="s">
        <v>91</v>
      </c>
      <c r="P378" s="0" t="n">
        <v>7</v>
      </c>
      <c r="Q378" s="5" t="n">
        <v>60</v>
      </c>
      <c r="R378" s="4" t="n">
        <v>45986</v>
      </c>
      <c r="S378" s="0" t="s">
        <v>1020</v>
      </c>
      <c r="T378" s="0" t="n">
        <f aca="false">R378-J378</f>
        <v>5</v>
      </c>
      <c r="U378" s="5" t="n">
        <f aca="false">M378*N378</f>
        <v>2697</v>
      </c>
      <c r="V378" s="6" t="n">
        <f aca="false">IF(O378="FLAT5",5%,IF(O378="FLAT10",10%,IF(O378="FLAT15",15%,IF(O378="FLAT20",20%,0))))</f>
        <v>0.1</v>
      </c>
      <c r="W378" s="5" t="n">
        <f aca="false">U378*(1-V378)</f>
        <v>2427.3</v>
      </c>
      <c r="X378" s="5" t="n">
        <f aca="false">W378+IF(O378="DEL0",0,Q378)</f>
        <v>2487.3</v>
      </c>
      <c r="Y378" s="0" t="str">
        <f aca="false">B378&amp;" "&amp;C378</f>
        <v>Pooja Kumar</v>
      </c>
      <c r="Z378" s="0" t="str">
        <f aca="false">IF(T378&lt;P378,"BeforeTime",IF(T378=P378,"Intime","Late"))</f>
        <v>BeforeTime</v>
      </c>
      <c r="AA378" s="0" t="str">
        <f aca="false">TEXT(J378,"mmm")</f>
        <v>Nov</v>
      </c>
      <c r="AB378" s="0" t="e">
        <f aca="false">xlookup(L378,Products!A:A,Products!B:B,"")</f>
        <v>#NAME?</v>
      </c>
    </row>
    <row r="379" customFormat="false" ht="15" hidden="false" customHeight="false" outlineLevel="0" collapsed="false">
      <c r="A379" s="0" t="s">
        <v>919</v>
      </c>
      <c r="B379" s="0" t="s">
        <v>174</v>
      </c>
      <c r="C379" s="0" t="s">
        <v>58</v>
      </c>
      <c r="D379" s="0" t="n">
        <v>32</v>
      </c>
      <c r="E379" s="0" t="s">
        <v>48</v>
      </c>
      <c r="F379" s="0" t="s">
        <v>160</v>
      </c>
      <c r="G379" s="0" t="s">
        <v>1815</v>
      </c>
      <c r="H379" s="0" t="s">
        <v>806</v>
      </c>
      <c r="I379" s="0" t="s">
        <v>1816</v>
      </c>
      <c r="J379" s="4" t="n">
        <v>45981</v>
      </c>
      <c r="K379" s="0" t="s">
        <v>1817</v>
      </c>
      <c r="L379" s="0" t="s">
        <v>129</v>
      </c>
      <c r="M379" s="5" t="n">
        <v>2999</v>
      </c>
      <c r="N379" s="0" t="n">
        <v>3</v>
      </c>
      <c r="O379" s="0" t="s">
        <v>101</v>
      </c>
      <c r="P379" s="0" t="n">
        <v>5</v>
      </c>
      <c r="Q379" s="5" t="n">
        <v>50</v>
      </c>
      <c r="R379" s="4" t="n">
        <v>45986</v>
      </c>
      <c r="S379" s="0" t="s">
        <v>1818</v>
      </c>
      <c r="T379" s="0" t="n">
        <f aca="false">R379-J379</f>
        <v>5</v>
      </c>
      <c r="U379" s="5" t="n">
        <f aca="false">M379*N379</f>
        <v>8997</v>
      </c>
      <c r="V379" s="6" t="n">
        <f aca="false">IF(O379="FLAT5",5%,IF(O379="FLAT10",10%,IF(O379="FLAT15",15%,IF(O379="FLAT20",20%,0))))</f>
        <v>0.15</v>
      </c>
      <c r="W379" s="5" t="n">
        <f aca="false">U379*(1-V379)</f>
        <v>7647.45</v>
      </c>
      <c r="X379" s="5" t="n">
        <f aca="false">W379+IF(O379="DEL0",0,Q379)</f>
        <v>7697.45</v>
      </c>
      <c r="Y379" s="0" t="str">
        <f aca="false">B379&amp;" "&amp;C379</f>
        <v>Ananya Iyer</v>
      </c>
      <c r="Z379" s="0" t="str">
        <f aca="false">IF(T379&lt;P379,"BeforeTime",IF(T379=P379,"Intime","Late"))</f>
        <v>Intime</v>
      </c>
      <c r="AA379" s="0" t="str">
        <f aca="false">TEXT(J379,"mmm")</f>
        <v>Nov</v>
      </c>
      <c r="AB379" s="0" t="e">
        <f aca="false">xlookup(L379,Products!A:A,Products!B:B,"")</f>
        <v>#NAME?</v>
      </c>
    </row>
    <row r="380" customFormat="false" ht="15" hidden="false" customHeight="false" outlineLevel="0" collapsed="false">
      <c r="A380" s="0" t="s">
        <v>993</v>
      </c>
      <c r="B380" s="0" t="s">
        <v>294</v>
      </c>
      <c r="C380" s="0" t="s">
        <v>76</v>
      </c>
      <c r="D380" s="0" t="n">
        <v>54</v>
      </c>
      <c r="E380" s="0" t="s">
        <v>48</v>
      </c>
      <c r="F380" s="0" t="s">
        <v>248</v>
      </c>
      <c r="G380" s="0" t="s">
        <v>1819</v>
      </c>
      <c r="H380" s="0" t="s">
        <v>1820</v>
      </c>
      <c r="I380" s="0" t="s">
        <v>1821</v>
      </c>
      <c r="J380" s="4" t="n">
        <v>45666</v>
      </c>
      <c r="K380" s="0" t="s">
        <v>526</v>
      </c>
      <c r="L380" s="0" t="s">
        <v>240</v>
      </c>
      <c r="M380" s="5" t="n">
        <v>4999</v>
      </c>
      <c r="N380" s="0" t="n">
        <v>4</v>
      </c>
      <c r="O380" s="0" t="s">
        <v>259</v>
      </c>
      <c r="P380" s="0" t="n">
        <v>2</v>
      </c>
      <c r="Q380" s="5" t="n">
        <v>60</v>
      </c>
      <c r="R380" s="4" t="n">
        <v>45668</v>
      </c>
      <c r="S380" s="0" t="s">
        <v>651</v>
      </c>
      <c r="T380" s="0" t="n">
        <f aca="false">R380-J380</f>
        <v>2</v>
      </c>
      <c r="U380" s="5" t="n">
        <f aca="false">M380*N380</f>
        <v>19996</v>
      </c>
      <c r="V380" s="6" t="n">
        <f aca="false">IF(O380="FLAT5",5%,IF(O380="FLAT10",10%,IF(O380="FLAT15",15%,IF(O380="FLAT20",20%,0))))</f>
        <v>0</v>
      </c>
      <c r="W380" s="5" t="n">
        <f aca="false">U380*(1-V380)</f>
        <v>19996</v>
      </c>
      <c r="X380" s="5" t="n">
        <f aca="false">W380+IF(O380="DEL0",0,Q380)</f>
        <v>20056</v>
      </c>
      <c r="Y380" s="0" t="str">
        <f aca="false">B380&amp;" "&amp;C380</f>
        <v>Aditya Patel</v>
      </c>
      <c r="Z380" s="0" t="str">
        <f aca="false">IF(T380&lt;P380,"BeforeTime",IF(T380=P380,"Intime","Late"))</f>
        <v>Intime</v>
      </c>
      <c r="AA380" s="0" t="str">
        <f aca="false">TEXT(J380,"mmm")</f>
        <v>Jan</v>
      </c>
      <c r="AB380" s="0" t="e">
        <f aca="false">xlookup(L380,Products!A:A,Products!B:B,"")</f>
        <v>#NAME?</v>
      </c>
    </row>
    <row r="381" customFormat="false" ht="15" hidden="false" customHeight="false" outlineLevel="0" collapsed="false">
      <c r="A381" s="0" t="s">
        <v>1213</v>
      </c>
      <c r="B381" s="0" t="s">
        <v>269</v>
      </c>
      <c r="C381" s="0" t="s">
        <v>105</v>
      </c>
      <c r="D381" s="0" t="n">
        <v>54</v>
      </c>
      <c r="E381" s="0" t="s">
        <v>36</v>
      </c>
      <c r="F381" s="0" t="s">
        <v>124</v>
      </c>
      <c r="G381" s="0" t="s">
        <v>1822</v>
      </c>
      <c r="H381" s="0" t="s">
        <v>1823</v>
      </c>
      <c r="I381" s="0" t="s">
        <v>1824</v>
      </c>
      <c r="J381" s="4" t="n">
        <v>45730</v>
      </c>
      <c r="K381" s="0" t="s">
        <v>1825</v>
      </c>
      <c r="L381" s="0" t="s">
        <v>100</v>
      </c>
      <c r="M381" s="5" t="n">
        <v>999</v>
      </c>
      <c r="N381" s="0" t="n">
        <v>1</v>
      </c>
      <c r="O381" s="0" t="s">
        <v>83</v>
      </c>
      <c r="P381" s="0" t="n">
        <v>5</v>
      </c>
      <c r="Q381" s="5" t="n">
        <v>75</v>
      </c>
      <c r="R381" s="4" t="n">
        <v>45735</v>
      </c>
      <c r="S381" s="0" t="s">
        <v>743</v>
      </c>
      <c r="T381" s="0" t="n">
        <f aca="false">R381-J381</f>
        <v>5</v>
      </c>
      <c r="U381" s="5" t="n">
        <f aca="false">M381*N381</f>
        <v>999</v>
      </c>
      <c r="V381" s="6" t="n">
        <f aca="false">IF(O381="FLAT5",5%,IF(O381="FLAT10",10%,IF(O381="FLAT15",15%,IF(O381="FLAT20",20%,0))))</f>
        <v>0.05</v>
      </c>
      <c r="W381" s="5" t="n">
        <f aca="false">U381*(1-V381)</f>
        <v>949.05</v>
      </c>
      <c r="X381" s="5" t="n">
        <f aca="false">W381+IF(O381="DEL0",0,Q381)</f>
        <v>1024.05</v>
      </c>
      <c r="Y381" s="0" t="str">
        <f aca="false">B381&amp;" "&amp;C381</f>
        <v>Varun Bhat</v>
      </c>
      <c r="Z381" s="0" t="str">
        <f aca="false">IF(T381&lt;P381,"BeforeTime",IF(T381=P381,"Intime","Late"))</f>
        <v>Intime</v>
      </c>
      <c r="AA381" s="0" t="str">
        <f aca="false">TEXT(J381,"mmm")</f>
        <v>Mar</v>
      </c>
      <c r="AB381" s="0" t="e">
        <f aca="false">xlookup(L381,Products!A:A,Products!B:B,"")</f>
        <v>#NAME?</v>
      </c>
    </row>
    <row r="382" customFormat="false" ht="15" hidden="false" customHeight="false" outlineLevel="0" collapsed="false">
      <c r="A382" s="0" t="s">
        <v>337</v>
      </c>
      <c r="B382" s="0" t="s">
        <v>139</v>
      </c>
      <c r="C382" s="0" t="s">
        <v>113</v>
      </c>
      <c r="D382" s="0" t="n">
        <v>23</v>
      </c>
      <c r="E382" s="0" t="s">
        <v>48</v>
      </c>
      <c r="F382" s="0" t="s">
        <v>140</v>
      </c>
      <c r="G382" s="0" t="s">
        <v>1826</v>
      </c>
      <c r="H382" s="0" t="s">
        <v>1634</v>
      </c>
      <c r="I382" s="0" t="s">
        <v>1827</v>
      </c>
      <c r="J382" s="4" t="n">
        <v>45690</v>
      </c>
      <c r="K382" s="0" t="s">
        <v>84</v>
      </c>
      <c r="L382" s="0" t="s">
        <v>53</v>
      </c>
      <c r="M382" s="5" t="n">
        <v>2499</v>
      </c>
      <c r="N382" s="0" t="n">
        <v>2</v>
      </c>
      <c r="O382" s="0" t="s">
        <v>54</v>
      </c>
      <c r="P382" s="0" t="n">
        <v>2</v>
      </c>
      <c r="Q382" s="5" t="n">
        <v>0</v>
      </c>
      <c r="R382" s="4" t="n">
        <v>45691</v>
      </c>
      <c r="S382" s="0" t="s">
        <v>164</v>
      </c>
      <c r="T382" s="0" t="n">
        <f aca="false">R382-J382</f>
        <v>1</v>
      </c>
      <c r="U382" s="5" t="n">
        <f aca="false">M382*N382</f>
        <v>4998</v>
      </c>
      <c r="V382" s="6" t="n">
        <f aca="false">IF(O382="FLAT5",5%,IF(O382="FLAT10",10%,IF(O382="FLAT15",15%,IF(O382="FLAT20",20%,0))))</f>
        <v>0</v>
      </c>
      <c r="W382" s="5" t="n">
        <f aca="false">U382*(1-V382)</f>
        <v>4998</v>
      </c>
      <c r="X382" s="5" t="n">
        <f aca="false">W382+IF(O382="DEL0",0,Q382)</f>
        <v>4998</v>
      </c>
      <c r="Y382" s="0" t="str">
        <f aca="false">B382&amp;" "&amp;C382</f>
        <v>Aarav Rao</v>
      </c>
      <c r="Z382" s="0" t="str">
        <f aca="false">IF(T382&lt;P382,"BeforeTime",IF(T382=P382,"Intime","Late"))</f>
        <v>BeforeTime</v>
      </c>
      <c r="AA382" s="0" t="str">
        <f aca="false">TEXT(J382,"mmm")</f>
        <v>Feb</v>
      </c>
      <c r="AB382" s="0" t="e">
        <f aca="false">xlookup(L382,Products!A:A,Products!B:B,"")</f>
        <v>#NAME?</v>
      </c>
    </row>
    <row r="383" customFormat="false" ht="15" hidden="false" customHeight="false" outlineLevel="0" collapsed="false">
      <c r="A383" s="0" t="s">
        <v>1828</v>
      </c>
      <c r="B383" s="0" t="s">
        <v>86</v>
      </c>
      <c r="C383" s="0" t="s">
        <v>58</v>
      </c>
      <c r="D383" s="0" t="n">
        <v>40</v>
      </c>
      <c r="E383" s="0" t="s">
        <v>36</v>
      </c>
      <c r="F383" s="0" t="s">
        <v>124</v>
      </c>
      <c r="G383" s="0" t="s">
        <v>1829</v>
      </c>
      <c r="H383" s="0" t="s">
        <v>237</v>
      </c>
      <c r="I383" s="0" t="s">
        <v>1830</v>
      </c>
      <c r="J383" s="4" t="n">
        <v>45767</v>
      </c>
      <c r="K383" s="0" t="s">
        <v>822</v>
      </c>
      <c r="L383" s="0" t="s">
        <v>240</v>
      </c>
      <c r="M383" s="5" t="n">
        <v>4999</v>
      </c>
      <c r="N383" s="0" t="n">
        <v>2</v>
      </c>
      <c r="O383" s="0" t="s">
        <v>91</v>
      </c>
      <c r="P383" s="0" t="n">
        <v>2</v>
      </c>
      <c r="Q383" s="5" t="n">
        <v>60</v>
      </c>
      <c r="R383" s="4" t="n">
        <v>45769</v>
      </c>
      <c r="S383" s="0" t="s">
        <v>1145</v>
      </c>
      <c r="T383" s="0" t="n">
        <f aca="false">R383-J383</f>
        <v>2</v>
      </c>
      <c r="U383" s="5" t="n">
        <f aca="false">M383*N383</f>
        <v>9998</v>
      </c>
      <c r="V383" s="6" t="n">
        <f aca="false">IF(O383="FLAT5",5%,IF(O383="FLAT10",10%,IF(O383="FLAT15",15%,IF(O383="FLAT20",20%,0))))</f>
        <v>0.1</v>
      </c>
      <c r="W383" s="5" t="n">
        <f aca="false">U383*(1-V383)</f>
        <v>8998.2</v>
      </c>
      <c r="X383" s="5" t="n">
        <f aca="false">W383+IF(O383="DEL0",0,Q383)</f>
        <v>9058.2</v>
      </c>
      <c r="Y383" s="0" t="str">
        <f aca="false">B383&amp;" "&amp;C383</f>
        <v>Rahul Iyer</v>
      </c>
      <c r="Z383" s="0" t="str">
        <f aca="false">IF(T383&lt;P383,"BeforeTime",IF(T383=P383,"Intime","Late"))</f>
        <v>Intime</v>
      </c>
      <c r="AA383" s="0" t="str">
        <f aca="false">TEXT(J383,"mmm")</f>
        <v>Apr</v>
      </c>
      <c r="AB383" s="0" t="e">
        <f aca="false">xlookup(L383,Products!A:A,Products!B:B,"")</f>
        <v>#NAME?</v>
      </c>
    </row>
    <row r="384" customFormat="false" ht="15" hidden="false" customHeight="false" outlineLevel="0" collapsed="false">
      <c r="A384" s="0" t="s">
        <v>1357</v>
      </c>
      <c r="B384" s="0" t="s">
        <v>67</v>
      </c>
      <c r="C384" s="0" t="s">
        <v>113</v>
      </c>
      <c r="D384" s="0" t="n">
        <v>48</v>
      </c>
      <c r="E384" s="0" t="s">
        <v>36</v>
      </c>
      <c r="F384" s="0" t="s">
        <v>124</v>
      </c>
      <c r="G384" s="0" t="s">
        <v>1831</v>
      </c>
      <c r="H384" s="0" t="s">
        <v>116</v>
      </c>
      <c r="I384" s="0" t="s">
        <v>1832</v>
      </c>
      <c r="J384" s="4" t="n">
        <v>45981</v>
      </c>
      <c r="K384" s="0" t="s">
        <v>854</v>
      </c>
      <c r="L384" s="0" t="s">
        <v>110</v>
      </c>
      <c r="M384" s="5" t="n">
        <v>1499</v>
      </c>
      <c r="N384" s="0" t="n">
        <v>2</v>
      </c>
      <c r="O384" s="0" t="s">
        <v>83</v>
      </c>
      <c r="P384" s="0" t="n">
        <v>6</v>
      </c>
      <c r="Q384" s="5" t="n">
        <v>50</v>
      </c>
      <c r="R384" s="4" t="n">
        <v>45987</v>
      </c>
      <c r="S384" s="0" t="s">
        <v>938</v>
      </c>
      <c r="T384" s="0" t="n">
        <f aca="false">R384-J384</f>
        <v>6</v>
      </c>
      <c r="U384" s="5" t="n">
        <f aca="false">M384*N384</f>
        <v>2998</v>
      </c>
      <c r="V384" s="6" t="n">
        <f aca="false">IF(O384="FLAT5",5%,IF(O384="FLAT10",10%,IF(O384="FLAT15",15%,IF(O384="FLAT20",20%,0))))</f>
        <v>0.05</v>
      </c>
      <c r="W384" s="5" t="n">
        <f aca="false">U384*(1-V384)</f>
        <v>2848.1</v>
      </c>
      <c r="X384" s="5" t="n">
        <f aca="false">W384+IF(O384="DEL0",0,Q384)</f>
        <v>2898.1</v>
      </c>
      <c r="Y384" s="0" t="str">
        <f aca="false">B384&amp;" "&amp;C384</f>
        <v>Priya Rao</v>
      </c>
      <c r="Z384" s="0" t="str">
        <f aca="false">IF(T384&lt;P384,"BeforeTime",IF(T384=P384,"Intime","Late"))</f>
        <v>Intime</v>
      </c>
      <c r="AA384" s="0" t="str">
        <f aca="false">TEXT(J384,"mmm")</f>
        <v>Nov</v>
      </c>
      <c r="AB384" s="0" t="e">
        <f aca="false">xlookup(L384,Products!A:A,Products!B:B,"")</f>
        <v>#NAME?</v>
      </c>
    </row>
    <row r="385" customFormat="false" ht="15" hidden="false" customHeight="false" outlineLevel="0" collapsed="false">
      <c r="A385" s="0" t="s">
        <v>1833</v>
      </c>
      <c r="B385" s="0" t="s">
        <v>57</v>
      </c>
      <c r="C385" s="0" t="s">
        <v>368</v>
      </c>
      <c r="D385" s="0" t="n">
        <v>46</v>
      </c>
      <c r="E385" s="0" t="s">
        <v>48</v>
      </c>
      <c r="F385" s="0" t="s">
        <v>262</v>
      </c>
      <c r="G385" s="0" t="s">
        <v>1834</v>
      </c>
      <c r="H385" s="0" t="s">
        <v>877</v>
      </c>
      <c r="I385" s="0" t="s">
        <v>1835</v>
      </c>
      <c r="J385" s="4" t="n">
        <v>45925</v>
      </c>
      <c r="K385" s="0" t="s">
        <v>1836</v>
      </c>
      <c r="L385" s="0" t="s">
        <v>100</v>
      </c>
      <c r="M385" s="5" t="n">
        <v>999</v>
      </c>
      <c r="N385" s="0" t="n">
        <v>2</v>
      </c>
      <c r="O385" s="0" t="s">
        <v>43</v>
      </c>
      <c r="P385" s="0" t="n">
        <v>5</v>
      </c>
      <c r="Q385" s="5" t="n">
        <v>50</v>
      </c>
      <c r="R385" s="4" t="n">
        <v>45930</v>
      </c>
      <c r="S385" s="0" t="s">
        <v>845</v>
      </c>
      <c r="T385" s="0" t="n">
        <f aca="false">R385-J385</f>
        <v>5</v>
      </c>
      <c r="U385" s="5" t="n">
        <f aca="false">M385*N385</f>
        <v>1998</v>
      </c>
      <c r="V385" s="6" t="n">
        <f aca="false">IF(O385="FLAT5",5%,IF(O385="FLAT10",10%,IF(O385="FLAT15",15%,IF(O385="FLAT20",20%,0))))</f>
        <v>0.2</v>
      </c>
      <c r="W385" s="5" t="n">
        <f aca="false">U385*(1-V385)</f>
        <v>1598.4</v>
      </c>
      <c r="X385" s="5" t="n">
        <f aca="false">W385+IF(O385="DEL0",0,Q385)</f>
        <v>1648.4</v>
      </c>
      <c r="Y385" s="0" t="str">
        <f aca="false">B385&amp;" "&amp;C385</f>
        <v>Arjun Das</v>
      </c>
      <c r="Z385" s="0" t="str">
        <f aca="false">IF(T385&lt;P385,"BeforeTime",IF(T385=P385,"Intime","Late"))</f>
        <v>Intime</v>
      </c>
      <c r="AA385" s="0" t="str">
        <f aca="false">TEXT(J385,"mmm")</f>
        <v>Sep</v>
      </c>
      <c r="AB385" s="0" t="e">
        <f aca="false">xlookup(L385,Products!A:A,Products!B:B,"")</f>
        <v>#NAME?</v>
      </c>
    </row>
    <row r="386" customFormat="false" ht="15" hidden="false" customHeight="false" outlineLevel="0" collapsed="false">
      <c r="A386" s="0" t="s">
        <v>1837</v>
      </c>
      <c r="B386" s="0" t="s">
        <v>104</v>
      </c>
      <c r="C386" s="0" t="s">
        <v>76</v>
      </c>
      <c r="D386" s="0" t="n">
        <v>39</v>
      </c>
      <c r="E386" s="0" t="s">
        <v>48</v>
      </c>
      <c r="F386" s="0" t="s">
        <v>160</v>
      </c>
      <c r="G386" s="0" t="s">
        <v>1838</v>
      </c>
      <c r="H386" s="0" t="s">
        <v>1839</v>
      </c>
      <c r="I386" s="0" t="s">
        <v>1840</v>
      </c>
      <c r="J386" s="4" t="n">
        <v>45929</v>
      </c>
      <c r="K386" s="0" t="s">
        <v>1841</v>
      </c>
      <c r="L386" s="0" t="s">
        <v>110</v>
      </c>
      <c r="M386" s="5" t="n">
        <v>1499</v>
      </c>
      <c r="N386" s="0" t="n">
        <v>2</v>
      </c>
      <c r="O386" s="0" t="s">
        <v>91</v>
      </c>
      <c r="P386" s="0" t="n">
        <v>2</v>
      </c>
      <c r="Q386" s="5" t="n">
        <v>90</v>
      </c>
      <c r="R386" s="4" t="n">
        <v>45931</v>
      </c>
      <c r="S386" s="0" t="s">
        <v>1685</v>
      </c>
      <c r="T386" s="0" t="n">
        <f aca="false">R386-J386</f>
        <v>2</v>
      </c>
      <c r="U386" s="5" t="n">
        <f aca="false">M386*N386</f>
        <v>2998</v>
      </c>
      <c r="V386" s="6" t="n">
        <f aca="false">IF(O386="FLAT5",5%,IF(O386="FLAT10",10%,IF(O386="FLAT15",15%,IF(O386="FLAT20",20%,0))))</f>
        <v>0.1</v>
      </c>
      <c r="W386" s="5" t="n">
        <f aca="false">U386*(1-V386)</f>
        <v>2698.2</v>
      </c>
      <c r="X386" s="5" t="n">
        <f aca="false">W386+IF(O386="DEL0",0,Q386)</f>
        <v>2788.2</v>
      </c>
      <c r="Y386" s="0" t="str">
        <f aca="false">B386&amp;" "&amp;C386</f>
        <v>Keerthi Patel</v>
      </c>
      <c r="Z386" s="0" t="str">
        <f aca="false">IF(T386&lt;P386,"BeforeTime",IF(T386=P386,"Intime","Late"))</f>
        <v>Intime</v>
      </c>
      <c r="AA386" s="0" t="str">
        <f aca="false">TEXT(J386,"mmm")</f>
        <v>Sep</v>
      </c>
      <c r="AB386" s="0" t="e">
        <f aca="false">xlookup(L386,Products!A:A,Products!B:B,"")</f>
        <v>#NAME?</v>
      </c>
    </row>
    <row r="387" customFormat="false" ht="15" hidden="false" customHeight="false" outlineLevel="0" collapsed="false">
      <c r="A387" s="0" t="s">
        <v>1842</v>
      </c>
      <c r="B387" s="0" t="s">
        <v>75</v>
      </c>
      <c r="C387" s="0" t="s">
        <v>210</v>
      </c>
      <c r="D387" s="0" t="n">
        <v>32</v>
      </c>
      <c r="E387" s="0" t="s">
        <v>36</v>
      </c>
      <c r="F387" s="0" t="s">
        <v>262</v>
      </c>
      <c r="G387" s="0" t="s">
        <v>1843</v>
      </c>
      <c r="H387" s="0" t="s">
        <v>965</v>
      </c>
      <c r="I387" s="0" t="s">
        <v>1844</v>
      </c>
      <c r="J387" s="4" t="n">
        <v>45739</v>
      </c>
      <c r="K387" s="0" t="s">
        <v>1003</v>
      </c>
      <c r="L387" s="0" t="s">
        <v>119</v>
      </c>
      <c r="M387" s="5" t="n">
        <v>899</v>
      </c>
      <c r="N387" s="0" t="n">
        <v>4</v>
      </c>
      <c r="O387" s="0" t="s">
        <v>101</v>
      </c>
      <c r="P387" s="0" t="n">
        <v>7</v>
      </c>
      <c r="Q387" s="5" t="n">
        <v>120</v>
      </c>
      <c r="R387" s="4" t="n">
        <v>45747</v>
      </c>
      <c r="S387" s="0" t="s">
        <v>1845</v>
      </c>
      <c r="T387" s="0" t="n">
        <f aca="false">R387-J387</f>
        <v>8</v>
      </c>
      <c r="U387" s="5" t="n">
        <f aca="false">M387*N387</f>
        <v>3596</v>
      </c>
      <c r="V387" s="6" t="n">
        <f aca="false">IF(O387="FLAT5",5%,IF(O387="FLAT10",10%,IF(O387="FLAT15",15%,IF(O387="FLAT20",20%,0))))</f>
        <v>0.15</v>
      </c>
      <c r="W387" s="5" t="n">
        <f aca="false">U387*(1-V387)</f>
        <v>3056.6</v>
      </c>
      <c r="X387" s="5" t="n">
        <f aca="false">W387+IF(O387="DEL0",0,Q387)</f>
        <v>3176.6</v>
      </c>
      <c r="Y387" s="0" t="str">
        <f aca="false">B387&amp;" "&amp;C387</f>
        <v>Vikram Reddy</v>
      </c>
      <c r="Z387" s="0" t="str">
        <f aca="false">IF(T387&lt;P387,"BeforeTime",IF(T387=P387,"Intime","Late"))</f>
        <v>Late</v>
      </c>
      <c r="AA387" s="0" t="str">
        <f aca="false">TEXT(J387,"mmm")</f>
        <v>Mar</v>
      </c>
      <c r="AB387" s="0" t="e">
        <f aca="false">xlookup(L387,Products!A:A,Products!B:B,"")</f>
        <v>#NAME?</v>
      </c>
    </row>
    <row r="388" customFormat="false" ht="15" hidden="false" customHeight="false" outlineLevel="0" collapsed="false">
      <c r="A388" s="0" t="s">
        <v>900</v>
      </c>
      <c r="B388" s="0" t="s">
        <v>394</v>
      </c>
      <c r="C388" s="0" t="s">
        <v>210</v>
      </c>
      <c r="D388" s="0" t="n">
        <v>26</v>
      </c>
      <c r="E388" s="0" t="s">
        <v>36</v>
      </c>
      <c r="F388" s="0" t="s">
        <v>77</v>
      </c>
      <c r="G388" s="0" t="s">
        <v>1846</v>
      </c>
      <c r="H388" s="0" t="s">
        <v>1847</v>
      </c>
      <c r="I388" s="0" t="s">
        <v>1848</v>
      </c>
      <c r="J388" s="4" t="n">
        <v>45906</v>
      </c>
      <c r="K388" s="0" t="s">
        <v>266</v>
      </c>
      <c r="L388" s="0" t="s">
        <v>42</v>
      </c>
      <c r="M388" s="5" t="n">
        <v>2199</v>
      </c>
      <c r="N388" s="0" t="n">
        <v>2</v>
      </c>
      <c r="O388" s="0" t="s">
        <v>54</v>
      </c>
      <c r="P388" s="0" t="n">
        <v>6</v>
      </c>
      <c r="Q388" s="5" t="n">
        <v>0</v>
      </c>
      <c r="R388" s="4" t="n">
        <v>45908</v>
      </c>
      <c r="S388" s="0" t="s">
        <v>1849</v>
      </c>
      <c r="T388" s="0" t="n">
        <f aca="false">R388-J388</f>
        <v>2</v>
      </c>
      <c r="U388" s="5" t="n">
        <f aca="false">M388*N388</f>
        <v>4398</v>
      </c>
      <c r="V388" s="6" t="n">
        <f aca="false">IF(O388="FLAT5",5%,IF(O388="FLAT10",10%,IF(O388="FLAT15",15%,IF(O388="FLAT20",20%,0))))</f>
        <v>0</v>
      </c>
      <c r="W388" s="5" t="n">
        <f aca="false">U388*(1-V388)</f>
        <v>4398</v>
      </c>
      <c r="X388" s="5" t="n">
        <f aca="false">W388+IF(O388="DEL0",0,Q388)</f>
        <v>4398</v>
      </c>
      <c r="Y388" s="0" t="str">
        <f aca="false">B388&amp;" "&amp;C388</f>
        <v>Kiran Reddy</v>
      </c>
      <c r="Z388" s="0" t="str">
        <f aca="false">IF(T388&lt;P388,"BeforeTime",IF(T388=P388,"Intime","Late"))</f>
        <v>BeforeTime</v>
      </c>
      <c r="AA388" s="0" t="str">
        <f aca="false">TEXT(J388,"mmm")</f>
        <v>Sep</v>
      </c>
      <c r="AB388" s="0" t="e">
        <f aca="false">xlookup(L388,Products!A:A,Products!B:B,"")</f>
        <v>#NAME?</v>
      </c>
    </row>
    <row r="389" customFormat="false" ht="15" hidden="false" customHeight="false" outlineLevel="0" collapsed="false">
      <c r="A389" s="0" t="s">
        <v>380</v>
      </c>
      <c r="B389" s="0" t="s">
        <v>86</v>
      </c>
      <c r="C389" s="0" t="s">
        <v>123</v>
      </c>
      <c r="D389" s="0" t="n">
        <v>27</v>
      </c>
      <c r="E389" s="0" t="s">
        <v>48</v>
      </c>
      <c r="F389" s="0" t="s">
        <v>37</v>
      </c>
      <c r="G389" s="0" t="s">
        <v>1850</v>
      </c>
      <c r="H389" s="0" t="s">
        <v>169</v>
      </c>
      <c r="I389" s="0" t="s">
        <v>1851</v>
      </c>
      <c r="J389" s="4" t="n">
        <v>45760</v>
      </c>
      <c r="K389" s="0" t="s">
        <v>378</v>
      </c>
      <c r="L389" s="0" t="s">
        <v>129</v>
      </c>
      <c r="M389" s="5" t="n">
        <v>2999</v>
      </c>
      <c r="N389" s="0" t="n">
        <v>2</v>
      </c>
      <c r="O389" s="0" t="s">
        <v>54</v>
      </c>
      <c r="P389" s="0" t="n">
        <v>5</v>
      </c>
      <c r="Q389" s="5" t="n">
        <v>0</v>
      </c>
      <c r="R389" s="4" t="n">
        <v>45766</v>
      </c>
      <c r="S389" s="0" t="s">
        <v>1852</v>
      </c>
      <c r="T389" s="0" t="n">
        <f aca="false">R389-J389</f>
        <v>6</v>
      </c>
      <c r="U389" s="5" t="n">
        <f aca="false">M389*N389</f>
        <v>5998</v>
      </c>
      <c r="V389" s="6" t="n">
        <f aca="false">IF(O389="FLAT5",5%,IF(O389="FLAT10",10%,IF(O389="FLAT15",15%,IF(O389="FLAT20",20%,0))))</f>
        <v>0</v>
      </c>
      <c r="W389" s="5" t="n">
        <f aca="false">U389*(1-V389)</f>
        <v>5998</v>
      </c>
      <c r="X389" s="5" t="n">
        <f aca="false">W389+IF(O389="DEL0",0,Q389)</f>
        <v>5998</v>
      </c>
      <c r="Y389" s="0" t="str">
        <f aca="false">B389&amp;" "&amp;C389</f>
        <v>Rahul Nair</v>
      </c>
      <c r="Z389" s="0" t="str">
        <f aca="false">IF(T389&lt;P389,"BeforeTime",IF(T389=P389,"Intime","Late"))</f>
        <v>Late</v>
      </c>
      <c r="AA389" s="0" t="str">
        <f aca="false">TEXT(J389,"mmm")</f>
        <v>Apr</v>
      </c>
      <c r="AB389" s="0" t="e">
        <f aca="false">xlookup(L389,Products!A:A,Products!B:B,"")</f>
        <v>#NAME?</v>
      </c>
    </row>
    <row r="390" customFormat="false" ht="15" hidden="false" customHeight="false" outlineLevel="0" collapsed="false">
      <c r="A390" s="0" t="s">
        <v>1853</v>
      </c>
      <c r="B390" s="0" t="s">
        <v>188</v>
      </c>
      <c r="C390" s="0" t="s">
        <v>105</v>
      </c>
      <c r="D390" s="0" t="n">
        <v>31</v>
      </c>
      <c r="E390" s="0" t="s">
        <v>48</v>
      </c>
      <c r="F390" s="0" t="s">
        <v>59</v>
      </c>
      <c r="G390" s="0" t="s">
        <v>1854</v>
      </c>
      <c r="H390" s="0" t="s">
        <v>719</v>
      </c>
      <c r="I390" s="0" t="s">
        <v>1855</v>
      </c>
      <c r="J390" s="4" t="n">
        <v>45981</v>
      </c>
      <c r="K390" s="0" t="s">
        <v>1856</v>
      </c>
      <c r="L390" s="0" t="s">
        <v>42</v>
      </c>
      <c r="M390" s="5" t="n">
        <v>2199</v>
      </c>
      <c r="N390" s="0" t="n">
        <v>4</v>
      </c>
      <c r="O390" s="0" t="s">
        <v>54</v>
      </c>
      <c r="P390" s="0" t="n">
        <v>4</v>
      </c>
      <c r="Q390" s="5" t="n">
        <v>0</v>
      </c>
      <c r="R390" s="4" t="n">
        <v>45987</v>
      </c>
      <c r="S390" s="0" t="s">
        <v>1857</v>
      </c>
      <c r="T390" s="0" t="n">
        <f aca="false">R390-J390</f>
        <v>6</v>
      </c>
      <c r="U390" s="5" t="n">
        <f aca="false">M390*N390</f>
        <v>8796</v>
      </c>
      <c r="V390" s="6" t="n">
        <f aca="false">IF(O390="FLAT5",5%,IF(O390="FLAT10",10%,IF(O390="FLAT15",15%,IF(O390="FLAT20",20%,0))))</f>
        <v>0</v>
      </c>
      <c r="W390" s="5" t="n">
        <f aca="false">U390*(1-V390)</f>
        <v>8796</v>
      </c>
      <c r="X390" s="5" t="n">
        <f aca="false">W390+IF(O390="DEL0",0,Q390)</f>
        <v>8796</v>
      </c>
      <c r="Y390" s="0" t="str">
        <f aca="false">B390&amp;" "&amp;C390</f>
        <v>Rohan Bhat</v>
      </c>
      <c r="Z390" s="0" t="str">
        <f aca="false">IF(T390&lt;P390,"BeforeTime",IF(T390=P390,"Intime","Late"))</f>
        <v>Late</v>
      </c>
      <c r="AA390" s="0" t="str">
        <f aca="false">TEXT(J390,"mmm")</f>
        <v>Nov</v>
      </c>
      <c r="AB390" s="0" t="e">
        <f aca="false">xlookup(L390,Products!A:A,Products!B:B,"")</f>
        <v>#NAME?</v>
      </c>
    </row>
    <row r="391" customFormat="false" ht="15" hidden="false" customHeight="false" outlineLevel="0" collapsed="false">
      <c r="A391" s="0" t="s">
        <v>254</v>
      </c>
      <c r="B391" s="0" t="s">
        <v>209</v>
      </c>
      <c r="C391" s="0" t="s">
        <v>261</v>
      </c>
      <c r="D391" s="0" t="n">
        <v>49</v>
      </c>
      <c r="E391" s="0" t="s">
        <v>48</v>
      </c>
      <c r="F391" s="0" t="s">
        <v>160</v>
      </c>
      <c r="G391" s="0" t="s">
        <v>1858</v>
      </c>
      <c r="H391" s="0" t="s">
        <v>407</v>
      </c>
      <c r="I391" s="0" t="s">
        <v>1859</v>
      </c>
      <c r="J391" s="4" t="n">
        <v>45809</v>
      </c>
      <c r="K391" s="0" t="s">
        <v>1640</v>
      </c>
      <c r="L391" s="0" t="s">
        <v>42</v>
      </c>
      <c r="M391" s="5" t="n">
        <v>2199</v>
      </c>
      <c r="N391" s="0" t="n">
        <v>3</v>
      </c>
      <c r="O391" s="0" t="s">
        <v>91</v>
      </c>
      <c r="P391" s="0" t="n">
        <v>6</v>
      </c>
      <c r="Q391" s="5" t="n">
        <v>50</v>
      </c>
      <c r="R391" s="4" t="n">
        <v>45814</v>
      </c>
      <c r="S391" s="0" t="s">
        <v>1860</v>
      </c>
      <c r="T391" s="0" t="n">
        <f aca="false">R391-J391</f>
        <v>5</v>
      </c>
      <c r="U391" s="5" t="n">
        <f aca="false">M391*N391</f>
        <v>6597</v>
      </c>
      <c r="V391" s="6" t="n">
        <f aca="false">IF(O391="FLAT5",5%,IF(O391="FLAT10",10%,IF(O391="FLAT15",15%,IF(O391="FLAT20",20%,0))))</f>
        <v>0.1</v>
      </c>
      <c r="W391" s="5" t="n">
        <f aca="false">U391*(1-V391)</f>
        <v>5937.3</v>
      </c>
      <c r="X391" s="5" t="n">
        <f aca="false">W391+IF(O391="DEL0",0,Q391)</f>
        <v>5987.3</v>
      </c>
      <c r="Y391" s="0" t="str">
        <f aca="false">B391&amp;" "&amp;C391</f>
        <v>Ishaan Kumar</v>
      </c>
      <c r="Z391" s="0" t="str">
        <f aca="false">IF(T391&lt;P391,"BeforeTime",IF(T391=P391,"Intime","Late"))</f>
        <v>BeforeTime</v>
      </c>
      <c r="AA391" s="0" t="str">
        <f aca="false">TEXT(J391,"mmm")</f>
        <v>Jun</v>
      </c>
      <c r="AB391" s="0" t="e">
        <f aca="false">xlookup(L391,Products!A:A,Products!B:B,"")</f>
        <v>#NAME?</v>
      </c>
    </row>
    <row r="392" customFormat="false" ht="15" hidden="false" customHeight="false" outlineLevel="0" collapsed="false">
      <c r="A392" s="0" t="s">
        <v>1861</v>
      </c>
      <c r="B392" s="0" t="s">
        <v>188</v>
      </c>
      <c r="C392" s="0" t="s">
        <v>167</v>
      </c>
      <c r="D392" s="0" t="n">
        <v>49</v>
      </c>
      <c r="E392" s="0" t="s">
        <v>48</v>
      </c>
      <c r="F392" s="0" t="s">
        <v>202</v>
      </c>
      <c r="G392" s="0" t="s">
        <v>1862</v>
      </c>
      <c r="H392" s="0" t="s">
        <v>1403</v>
      </c>
      <c r="I392" s="0" t="s">
        <v>1863</v>
      </c>
      <c r="J392" s="4" t="n">
        <v>45784</v>
      </c>
      <c r="K392" s="0" t="s">
        <v>1864</v>
      </c>
      <c r="L392" s="0" t="s">
        <v>82</v>
      </c>
      <c r="M392" s="5" t="n">
        <v>1199</v>
      </c>
      <c r="N392" s="0" t="n">
        <v>4</v>
      </c>
      <c r="O392" s="0" t="s">
        <v>54</v>
      </c>
      <c r="P392" s="0" t="n">
        <v>3</v>
      </c>
      <c r="Q392" s="5" t="n">
        <v>0</v>
      </c>
      <c r="R392" s="4" t="n">
        <v>45787</v>
      </c>
      <c r="S392" s="0" t="s">
        <v>1865</v>
      </c>
      <c r="T392" s="0" t="n">
        <f aca="false">R392-J392</f>
        <v>3</v>
      </c>
      <c r="U392" s="5" t="n">
        <f aca="false">M392*N392</f>
        <v>4796</v>
      </c>
      <c r="V392" s="6" t="n">
        <f aca="false">IF(O392="FLAT5",5%,IF(O392="FLAT10",10%,IF(O392="FLAT15",15%,IF(O392="FLAT20",20%,0))))</f>
        <v>0</v>
      </c>
      <c r="W392" s="5" t="n">
        <f aca="false">U392*(1-V392)</f>
        <v>4796</v>
      </c>
      <c r="X392" s="5" t="n">
        <f aca="false">W392+IF(O392="DEL0",0,Q392)</f>
        <v>4796</v>
      </c>
      <c r="Y392" s="0" t="str">
        <f aca="false">B392&amp;" "&amp;C392</f>
        <v>Rohan Chowdhury</v>
      </c>
      <c r="Z392" s="0" t="str">
        <f aca="false">IF(T392&lt;P392,"BeforeTime",IF(T392=P392,"Intime","Late"))</f>
        <v>Intime</v>
      </c>
      <c r="AA392" s="0" t="str">
        <f aca="false">TEXT(J392,"mmm")</f>
        <v>May</v>
      </c>
      <c r="AB392" s="0" t="e">
        <f aca="false">xlookup(L392,Products!A:A,Products!B:B,"")</f>
        <v>#NAME?</v>
      </c>
    </row>
    <row r="393" customFormat="false" ht="15" hidden="false" customHeight="false" outlineLevel="0" collapsed="false">
      <c r="A393" s="0" t="s">
        <v>1022</v>
      </c>
      <c r="B393" s="0" t="s">
        <v>139</v>
      </c>
      <c r="C393" s="0" t="s">
        <v>95</v>
      </c>
      <c r="D393" s="0" t="n">
        <v>22</v>
      </c>
      <c r="E393" s="0" t="s">
        <v>36</v>
      </c>
      <c r="F393" s="0" t="s">
        <v>248</v>
      </c>
      <c r="G393" s="0" t="s">
        <v>1866</v>
      </c>
      <c r="H393" s="0" t="s">
        <v>1867</v>
      </c>
      <c r="I393" s="0" t="s">
        <v>1868</v>
      </c>
      <c r="J393" s="4" t="n">
        <v>45859</v>
      </c>
      <c r="K393" s="0" t="s">
        <v>1869</v>
      </c>
      <c r="L393" s="0" t="s">
        <v>82</v>
      </c>
      <c r="M393" s="5" t="n">
        <v>1199</v>
      </c>
      <c r="N393" s="0" t="n">
        <v>1</v>
      </c>
      <c r="O393" s="0" t="s">
        <v>101</v>
      </c>
      <c r="P393" s="0" t="n">
        <v>5</v>
      </c>
      <c r="Q393" s="5" t="n">
        <v>75</v>
      </c>
      <c r="R393" s="4" t="n">
        <v>45865</v>
      </c>
      <c r="S393" s="0" t="s">
        <v>1870</v>
      </c>
      <c r="T393" s="0" t="n">
        <f aca="false">R393-J393</f>
        <v>6</v>
      </c>
      <c r="U393" s="5" t="n">
        <f aca="false">M393*N393</f>
        <v>1199</v>
      </c>
      <c r="V393" s="6" t="n">
        <f aca="false">IF(O393="FLAT5",5%,IF(O393="FLAT10",10%,IF(O393="FLAT15",15%,IF(O393="FLAT20",20%,0))))</f>
        <v>0.15</v>
      </c>
      <c r="W393" s="5" t="n">
        <f aca="false">U393*(1-V393)</f>
        <v>1019.15</v>
      </c>
      <c r="X393" s="5" t="n">
        <f aca="false">W393+IF(O393="DEL0",0,Q393)</f>
        <v>1094.15</v>
      </c>
      <c r="Y393" s="0" t="str">
        <f aca="false">B393&amp;" "&amp;C393</f>
        <v>Aarav Mishra</v>
      </c>
      <c r="Z393" s="0" t="str">
        <f aca="false">IF(T393&lt;P393,"BeforeTime",IF(T393=P393,"Intime","Late"))</f>
        <v>Late</v>
      </c>
      <c r="AA393" s="0" t="str">
        <f aca="false">TEXT(J393,"mmm")</f>
        <v>Jul</v>
      </c>
      <c r="AB393" s="0" t="e">
        <f aca="false">xlookup(L393,Products!A:A,Products!B:B,"")</f>
        <v>#NAME?</v>
      </c>
    </row>
    <row r="394" customFormat="false" ht="15" hidden="false" customHeight="false" outlineLevel="0" collapsed="false">
      <c r="A394" s="0" t="s">
        <v>1871</v>
      </c>
      <c r="B394" s="0" t="s">
        <v>282</v>
      </c>
      <c r="C394" s="0" t="s">
        <v>47</v>
      </c>
      <c r="D394" s="0" t="n">
        <v>28</v>
      </c>
      <c r="E394" s="0" t="s">
        <v>48</v>
      </c>
      <c r="F394" s="0" t="s">
        <v>114</v>
      </c>
      <c r="G394" s="0" t="s">
        <v>1872</v>
      </c>
      <c r="H394" s="0" t="s">
        <v>1204</v>
      </c>
      <c r="I394" s="0" t="s">
        <v>1873</v>
      </c>
      <c r="J394" s="4" t="n">
        <v>46000</v>
      </c>
      <c r="K394" s="0" t="s">
        <v>1874</v>
      </c>
      <c r="L394" s="0" t="s">
        <v>100</v>
      </c>
      <c r="M394" s="5" t="n">
        <v>999</v>
      </c>
      <c r="N394" s="0" t="n">
        <v>1</v>
      </c>
      <c r="O394" s="0" t="s">
        <v>83</v>
      </c>
      <c r="P394" s="0" t="n">
        <v>4</v>
      </c>
      <c r="Q394" s="5" t="n">
        <v>90</v>
      </c>
      <c r="R394" s="4" t="n">
        <v>46002</v>
      </c>
      <c r="S394" s="0" t="s">
        <v>1875</v>
      </c>
      <c r="T394" s="0" t="n">
        <f aca="false">R394-J394</f>
        <v>2</v>
      </c>
      <c r="U394" s="5" t="n">
        <f aca="false">M394*N394</f>
        <v>999</v>
      </c>
      <c r="V394" s="6" t="n">
        <f aca="false">IF(O394="FLAT5",5%,IF(O394="FLAT10",10%,IF(O394="FLAT15",15%,IF(O394="FLAT20",20%,0))))</f>
        <v>0.05</v>
      </c>
      <c r="W394" s="5" t="n">
        <f aca="false">U394*(1-V394)</f>
        <v>949.05</v>
      </c>
      <c r="X394" s="5" t="n">
        <f aca="false">W394+IF(O394="DEL0",0,Q394)</f>
        <v>1039.05</v>
      </c>
      <c r="Y394" s="0" t="str">
        <f aca="false">B394&amp;" "&amp;C394</f>
        <v>Nisha Verma</v>
      </c>
      <c r="Z394" s="0" t="str">
        <f aca="false">IF(T394&lt;P394,"BeforeTime",IF(T394=P394,"Intime","Late"))</f>
        <v>BeforeTime</v>
      </c>
      <c r="AA394" s="0" t="str">
        <f aca="false">TEXT(J394,"mmm")</f>
        <v>Dec</v>
      </c>
      <c r="AB394" s="0" t="e">
        <f aca="false">xlookup(L394,Products!A:A,Products!B:B,"")</f>
        <v>#NAME?</v>
      </c>
    </row>
    <row r="395" customFormat="false" ht="15" hidden="false" customHeight="false" outlineLevel="0" collapsed="false">
      <c r="A395" s="0" t="s">
        <v>1150</v>
      </c>
      <c r="B395" s="0" t="s">
        <v>294</v>
      </c>
      <c r="C395" s="0" t="s">
        <v>113</v>
      </c>
      <c r="D395" s="0" t="n">
        <v>43</v>
      </c>
      <c r="E395" s="0" t="s">
        <v>48</v>
      </c>
      <c r="F395" s="0" t="s">
        <v>202</v>
      </c>
      <c r="G395" s="0" t="s">
        <v>1876</v>
      </c>
      <c r="H395" s="0" t="s">
        <v>1877</v>
      </c>
      <c r="I395" s="0" t="s">
        <v>1878</v>
      </c>
      <c r="J395" s="4" t="n">
        <v>46011</v>
      </c>
      <c r="K395" s="0" t="s">
        <v>1879</v>
      </c>
      <c r="L395" s="0" t="s">
        <v>119</v>
      </c>
      <c r="M395" s="5" t="n">
        <v>899</v>
      </c>
      <c r="N395" s="0" t="n">
        <v>1</v>
      </c>
      <c r="O395" s="0" t="s">
        <v>91</v>
      </c>
      <c r="P395" s="0" t="n">
        <v>4</v>
      </c>
      <c r="Q395" s="5" t="n">
        <v>60</v>
      </c>
      <c r="R395" s="4" t="n">
        <v>46015</v>
      </c>
      <c r="S395" s="0" t="s">
        <v>1880</v>
      </c>
      <c r="T395" s="0" t="n">
        <f aca="false">R395-J395</f>
        <v>4</v>
      </c>
      <c r="U395" s="5" t="n">
        <f aca="false">M395*N395</f>
        <v>899</v>
      </c>
      <c r="V395" s="6" t="n">
        <f aca="false">IF(O395="FLAT5",5%,IF(O395="FLAT10",10%,IF(O395="FLAT15",15%,IF(O395="FLAT20",20%,0))))</f>
        <v>0.1</v>
      </c>
      <c r="W395" s="5" t="n">
        <f aca="false">U395*(1-V395)</f>
        <v>809.1</v>
      </c>
      <c r="X395" s="5" t="n">
        <f aca="false">W395+IF(O395="DEL0",0,Q395)</f>
        <v>869.1</v>
      </c>
      <c r="Y395" s="0" t="str">
        <f aca="false">B395&amp;" "&amp;C395</f>
        <v>Aditya Rao</v>
      </c>
      <c r="Z395" s="0" t="str">
        <f aca="false">IF(T395&lt;P395,"BeforeTime",IF(T395=P395,"Intime","Late"))</f>
        <v>Intime</v>
      </c>
      <c r="AA395" s="0" t="str">
        <f aca="false">TEXT(J395,"mmm")</f>
        <v>Dec</v>
      </c>
      <c r="AB395" s="0" t="e">
        <f aca="false">xlookup(L395,Products!A:A,Products!B:B,"")</f>
        <v>#NAME?</v>
      </c>
    </row>
    <row r="396" customFormat="false" ht="15" hidden="false" customHeight="false" outlineLevel="0" collapsed="false">
      <c r="A396" s="0" t="s">
        <v>576</v>
      </c>
      <c r="B396" s="0" t="s">
        <v>188</v>
      </c>
      <c r="C396" s="0" t="s">
        <v>76</v>
      </c>
      <c r="D396" s="0" t="n">
        <v>41</v>
      </c>
      <c r="E396" s="0" t="s">
        <v>36</v>
      </c>
      <c r="F396" s="0" t="s">
        <v>77</v>
      </c>
      <c r="G396" s="0" t="s">
        <v>1881</v>
      </c>
      <c r="H396" s="0" t="s">
        <v>945</v>
      </c>
      <c r="I396" s="0" t="s">
        <v>1882</v>
      </c>
      <c r="J396" s="4" t="n">
        <v>45714</v>
      </c>
      <c r="K396" s="0" t="s">
        <v>1883</v>
      </c>
      <c r="L396" s="0" t="s">
        <v>119</v>
      </c>
      <c r="M396" s="5" t="n">
        <v>899</v>
      </c>
      <c r="N396" s="0" t="n">
        <v>3</v>
      </c>
      <c r="O396" s="0" t="s">
        <v>259</v>
      </c>
      <c r="P396" s="0" t="n">
        <v>5</v>
      </c>
      <c r="Q396" s="5" t="n">
        <v>90</v>
      </c>
      <c r="R396" s="4" t="n">
        <v>45719</v>
      </c>
      <c r="S396" s="0" t="s">
        <v>1884</v>
      </c>
      <c r="T396" s="0" t="n">
        <f aca="false">R396-J396</f>
        <v>5</v>
      </c>
      <c r="U396" s="5" t="n">
        <f aca="false">M396*N396</f>
        <v>2697</v>
      </c>
      <c r="V396" s="6" t="n">
        <f aca="false">IF(O396="FLAT5",5%,IF(O396="FLAT10",10%,IF(O396="FLAT15",15%,IF(O396="FLAT20",20%,0))))</f>
        <v>0</v>
      </c>
      <c r="W396" s="5" t="n">
        <f aca="false">U396*(1-V396)</f>
        <v>2697</v>
      </c>
      <c r="X396" s="5" t="n">
        <f aca="false">W396+IF(O396="DEL0",0,Q396)</f>
        <v>2787</v>
      </c>
      <c r="Y396" s="0" t="str">
        <f aca="false">B396&amp;" "&amp;C396</f>
        <v>Rohan Patel</v>
      </c>
      <c r="Z396" s="0" t="str">
        <f aca="false">IF(T396&lt;P396,"BeforeTime",IF(T396=P396,"Intime","Late"))</f>
        <v>Intime</v>
      </c>
      <c r="AA396" s="0" t="str">
        <f aca="false">TEXT(J396,"mmm")</f>
        <v>Feb</v>
      </c>
      <c r="AB396" s="0" t="e">
        <f aca="false">xlookup(L396,Products!A:A,Products!B:B,"")</f>
        <v>#NAME?</v>
      </c>
    </row>
    <row r="397" customFormat="false" ht="15" hidden="false" customHeight="false" outlineLevel="0" collapsed="false">
      <c r="A397" s="0" t="s">
        <v>1233</v>
      </c>
      <c r="B397" s="0" t="s">
        <v>57</v>
      </c>
      <c r="C397" s="0" t="s">
        <v>47</v>
      </c>
      <c r="D397" s="0" t="n">
        <v>28</v>
      </c>
      <c r="E397" s="0" t="s">
        <v>48</v>
      </c>
      <c r="F397" s="0" t="s">
        <v>37</v>
      </c>
      <c r="G397" s="0" t="s">
        <v>1885</v>
      </c>
      <c r="H397" s="0" t="s">
        <v>1886</v>
      </c>
      <c r="I397" s="0" t="s">
        <v>1887</v>
      </c>
      <c r="J397" s="4" t="n">
        <v>45955</v>
      </c>
      <c r="K397" s="0" t="s">
        <v>200</v>
      </c>
      <c r="L397" s="0" t="s">
        <v>240</v>
      </c>
      <c r="M397" s="5" t="n">
        <v>4999</v>
      </c>
      <c r="N397" s="0" t="n">
        <v>1</v>
      </c>
      <c r="O397" s="0" t="s">
        <v>43</v>
      </c>
      <c r="P397" s="0" t="n">
        <v>7</v>
      </c>
      <c r="Q397" s="5" t="n">
        <v>120</v>
      </c>
      <c r="R397" s="4" t="n">
        <v>45962</v>
      </c>
      <c r="S397" s="0" t="s">
        <v>1888</v>
      </c>
      <c r="T397" s="0" t="n">
        <f aca="false">R397-J397</f>
        <v>7</v>
      </c>
      <c r="U397" s="5" t="n">
        <f aca="false">M397*N397</f>
        <v>4999</v>
      </c>
      <c r="V397" s="6" t="n">
        <f aca="false">IF(O397="FLAT5",5%,IF(O397="FLAT10",10%,IF(O397="FLAT15",15%,IF(O397="FLAT20",20%,0))))</f>
        <v>0.2</v>
      </c>
      <c r="W397" s="5" t="n">
        <f aca="false">U397*(1-V397)</f>
        <v>3999.2</v>
      </c>
      <c r="X397" s="5" t="n">
        <f aca="false">W397+IF(O397="DEL0",0,Q397)</f>
        <v>4119.2</v>
      </c>
      <c r="Y397" s="0" t="str">
        <f aca="false">B397&amp;" "&amp;C397</f>
        <v>Arjun Verma</v>
      </c>
      <c r="Z397" s="0" t="str">
        <f aca="false">IF(T397&lt;P397,"BeforeTime",IF(T397=P397,"Intime","Late"))</f>
        <v>Intime</v>
      </c>
      <c r="AA397" s="0" t="str">
        <f aca="false">TEXT(J397,"mmm")</f>
        <v>Oct</v>
      </c>
      <c r="AB397" s="0" t="e">
        <f aca="false">xlookup(L397,Products!A:A,Products!B:B,"")</f>
        <v>#NAME?</v>
      </c>
    </row>
    <row r="398" customFormat="false" ht="15" hidden="false" customHeight="false" outlineLevel="0" collapsed="false">
      <c r="A398" s="0" t="s">
        <v>657</v>
      </c>
      <c r="B398" s="0" t="s">
        <v>282</v>
      </c>
      <c r="C398" s="0" t="s">
        <v>181</v>
      </c>
      <c r="D398" s="0" t="n">
        <v>23</v>
      </c>
      <c r="E398" s="0" t="s">
        <v>36</v>
      </c>
      <c r="F398" s="0" t="s">
        <v>59</v>
      </c>
      <c r="G398" s="0" t="s">
        <v>1889</v>
      </c>
      <c r="H398" s="0" t="s">
        <v>1890</v>
      </c>
      <c r="I398" s="0" t="s">
        <v>1891</v>
      </c>
      <c r="J398" s="4" t="n">
        <v>45927</v>
      </c>
      <c r="K398" s="0" t="s">
        <v>215</v>
      </c>
      <c r="L398" s="0" t="s">
        <v>391</v>
      </c>
      <c r="M398" s="5" t="n">
        <v>3499</v>
      </c>
      <c r="N398" s="0" t="n">
        <v>4</v>
      </c>
      <c r="O398" s="0" t="s">
        <v>101</v>
      </c>
      <c r="P398" s="0" t="n">
        <v>2</v>
      </c>
      <c r="Q398" s="5" t="n">
        <v>90</v>
      </c>
      <c r="R398" s="4" t="n">
        <v>45929</v>
      </c>
      <c r="S398" s="0" t="s">
        <v>1113</v>
      </c>
      <c r="T398" s="0" t="n">
        <f aca="false">R398-J398</f>
        <v>2</v>
      </c>
      <c r="U398" s="5" t="n">
        <f aca="false">M398*N398</f>
        <v>13996</v>
      </c>
      <c r="V398" s="6" t="n">
        <f aca="false">IF(O398="FLAT5",5%,IF(O398="FLAT10",10%,IF(O398="FLAT15",15%,IF(O398="FLAT20",20%,0))))</f>
        <v>0.15</v>
      </c>
      <c r="W398" s="5" t="n">
        <f aca="false">U398*(1-V398)</f>
        <v>11896.6</v>
      </c>
      <c r="X398" s="5" t="n">
        <f aca="false">W398+IF(O398="DEL0",0,Q398)</f>
        <v>11986.6</v>
      </c>
      <c r="Y398" s="0" t="str">
        <f aca="false">B398&amp;" "&amp;C398</f>
        <v>Nisha Gupta</v>
      </c>
      <c r="Z398" s="0" t="str">
        <f aca="false">IF(T398&lt;P398,"BeforeTime",IF(T398=P398,"Intime","Late"))</f>
        <v>Intime</v>
      </c>
      <c r="AA398" s="0" t="str">
        <f aca="false">TEXT(J398,"mmm")</f>
        <v>Sep</v>
      </c>
      <c r="AB398" s="0" t="e">
        <f aca="false">xlookup(L398,Products!A:A,Products!B:B,"")</f>
        <v>#NAME?</v>
      </c>
    </row>
    <row r="399" customFormat="false" ht="15" hidden="false" customHeight="false" outlineLevel="0" collapsed="false">
      <c r="A399" s="0" t="s">
        <v>1892</v>
      </c>
      <c r="B399" s="0" t="s">
        <v>57</v>
      </c>
      <c r="C399" s="0" t="s">
        <v>47</v>
      </c>
      <c r="D399" s="0" t="n">
        <v>49</v>
      </c>
      <c r="E399" s="0" t="s">
        <v>36</v>
      </c>
      <c r="F399" s="0" t="s">
        <v>140</v>
      </c>
      <c r="G399" s="0" t="s">
        <v>1893</v>
      </c>
      <c r="H399" s="0" t="s">
        <v>1894</v>
      </c>
      <c r="I399" s="0" t="s">
        <v>1895</v>
      </c>
      <c r="J399" s="4" t="n">
        <v>45697</v>
      </c>
      <c r="K399" s="0" t="s">
        <v>1724</v>
      </c>
      <c r="L399" s="0" t="s">
        <v>136</v>
      </c>
      <c r="M399" s="5" t="n">
        <v>1799</v>
      </c>
      <c r="N399" s="0" t="n">
        <v>2</v>
      </c>
      <c r="O399" s="0" t="s">
        <v>91</v>
      </c>
      <c r="P399" s="0" t="n">
        <v>2</v>
      </c>
      <c r="Q399" s="5" t="n">
        <v>40</v>
      </c>
      <c r="R399" s="4" t="n">
        <v>45698</v>
      </c>
      <c r="S399" s="0" t="s">
        <v>1896</v>
      </c>
      <c r="T399" s="0" t="n">
        <f aca="false">R399-J399</f>
        <v>1</v>
      </c>
      <c r="U399" s="5" t="n">
        <f aca="false">M399*N399</f>
        <v>3598</v>
      </c>
      <c r="V399" s="6" t="n">
        <f aca="false">IF(O399="FLAT5",5%,IF(O399="FLAT10",10%,IF(O399="FLAT15",15%,IF(O399="FLAT20",20%,0))))</f>
        <v>0.1</v>
      </c>
      <c r="W399" s="5" t="n">
        <f aca="false">U399*(1-V399)</f>
        <v>3238.2</v>
      </c>
      <c r="X399" s="5" t="n">
        <f aca="false">W399+IF(O399="DEL0",0,Q399)</f>
        <v>3278.2</v>
      </c>
      <c r="Y399" s="0" t="str">
        <f aca="false">B399&amp;" "&amp;C399</f>
        <v>Arjun Verma</v>
      </c>
      <c r="Z399" s="0" t="str">
        <f aca="false">IF(T399&lt;P399,"BeforeTime",IF(T399=P399,"Intime","Late"))</f>
        <v>BeforeTime</v>
      </c>
      <c r="AA399" s="0" t="str">
        <f aca="false">TEXT(J399,"mmm")</f>
        <v>Feb</v>
      </c>
      <c r="AB399" s="0" t="e">
        <f aca="false">xlookup(L399,Products!A:A,Products!B:B,"")</f>
        <v>#NAME?</v>
      </c>
    </row>
    <row r="400" customFormat="false" ht="15" hidden="false" customHeight="false" outlineLevel="0" collapsed="false">
      <c r="A400" s="0" t="s">
        <v>1410</v>
      </c>
      <c r="B400" s="0" t="s">
        <v>139</v>
      </c>
      <c r="C400" s="0" t="s">
        <v>368</v>
      </c>
      <c r="D400" s="0" t="n">
        <v>46</v>
      </c>
      <c r="E400" s="0" t="s">
        <v>36</v>
      </c>
      <c r="F400" s="0" t="s">
        <v>248</v>
      </c>
      <c r="G400" s="0" t="s">
        <v>1897</v>
      </c>
      <c r="H400" s="0" t="s">
        <v>1069</v>
      </c>
      <c r="I400" s="0" t="s">
        <v>1898</v>
      </c>
      <c r="J400" s="4" t="n">
        <v>45988</v>
      </c>
      <c r="K400" s="0" t="s">
        <v>1899</v>
      </c>
      <c r="L400" s="0" t="s">
        <v>391</v>
      </c>
      <c r="M400" s="5" t="n">
        <v>3499</v>
      </c>
      <c r="N400" s="0" t="n">
        <v>4</v>
      </c>
      <c r="O400" s="0" t="s">
        <v>101</v>
      </c>
      <c r="P400" s="0" t="n">
        <v>2</v>
      </c>
      <c r="Q400" s="5" t="n">
        <v>40</v>
      </c>
      <c r="R400" s="4" t="n">
        <v>45990</v>
      </c>
      <c r="S400" s="0" t="s">
        <v>1900</v>
      </c>
      <c r="T400" s="0" t="n">
        <f aca="false">R400-J400</f>
        <v>2</v>
      </c>
      <c r="U400" s="5" t="n">
        <f aca="false">M400*N400</f>
        <v>13996</v>
      </c>
      <c r="V400" s="6" t="n">
        <f aca="false">IF(O400="FLAT5",5%,IF(O400="FLAT10",10%,IF(O400="FLAT15",15%,IF(O400="FLAT20",20%,0))))</f>
        <v>0.15</v>
      </c>
      <c r="W400" s="5" t="n">
        <f aca="false">U400*(1-V400)</f>
        <v>11896.6</v>
      </c>
      <c r="X400" s="5" t="n">
        <f aca="false">W400+IF(O400="DEL0",0,Q400)</f>
        <v>11936.6</v>
      </c>
      <c r="Y400" s="0" t="str">
        <f aca="false">B400&amp;" "&amp;C400</f>
        <v>Aarav Das</v>
      </c>
      <c r="Z400" s="0" t="str">
        <f aca="false">IF(T400&lt;P400,"BeforeTime",IF(T400=P400,"Intime","Late"))</f>
        <v>Intime</v>
      </c>
      <c r="AA400" s="0" t="str">
        <f aca="false">TEXT(J400,"mmm")</f>
        <v>Nov</v>
      </c>
      <c r="AB400" s="0" t="e">
        <f aca="false">xlookup(L400,Products!A:A,Products!B:B,"")</f>
        <v>#NAME?</v>
      </c>
    </row>
    <row r="401" customFormat="false" ht="15" hidden="false" customHeight="false" outlineLevel="0" collapsed="false">
      <c r="A401" s="0" t="s">
        <v>1085</v>
      </c>
      <c r="B401" s="0" t="s">
        <v>86</v>
      </c>
      <c r="C401" s="0" t="s">
        <v>229</v>
      </c>
      <c r="D401" s="0" t="n">
        <v>51</v>
      </c>
      <c r="E401" s="0" t="s">
        <v>48</v>
      </c>
      <c r="F401" s="0" t="s">
        <v>248</v>
      </c>
      <c r="G401" s="0" t="s">
        <v>1901</v>
      </c>
      <c r="H401" s="0" t="s">
        <v>339</v>
      </c>
      <c r="I401" s="0" t="s">
        <v>1902</v>
      </c>
      <c r="J401" s="4" t="n">
        <v>45814</v>
      </c>
      <c r="K401" s="0" t="s">
        <v>1607</v>
      </c>
      <c r="L401" s="0" t="s">
        <v>72</v>
      </c>
      <c r="M401" s="5" t="n">
        <v>1299</v>
      </c>
      <c r="N401" s="0" t="n">
        <v>2</v>
      </c>
      <c r="O401" s="0" t="s">
        <v>259</v>
      </c>
      <c r="P401" s="0" t="n">
        <v>3</v>
      </c>
      <c r="Q401" s="5" t="n">
        <v>75</v>
      </c>
      <c r="R401" s="4" t="n">
        <v>45819</v>
      </c>
      <c r="S401" s="0" t="s">
        <v>569</v>
      </c>
      <c r="T401" s="0" t="n">
        <f aca="false">R401-J401</f>
        <v>5</v>
      </c>
      <c r="U401" s="5" t="n">
        <f aca="false">M401*N401</f>
        <v>2598</v>
      </c>
      <c r="V401" s="6" t="n">
        <f aca="false">IF(O401="FLAT5",5%,IF(O401="FLAT10",10%,IF(O401="FLAT15",15%,IF(O401="FLAT20",20%,0))))</f>
        <v>0</v>
      </c>
      <c r="W401" s="5" t="n">
        <f aca="false">U401*(1-V401)</f>
        <v>2598</v>
      </c>
      <c r="X401" s="5" t="n">
        <f aca="false">W401+IF(O401="DEL0",0,Q401)</f>
        <v>2673</v>
      </c>
      <c r="Y401" s="0" t="str">
        <f aca="false">B401&amp;" "&amp;C401</f>
        <v>Rahul Joshi</v>
      </c>
      <c r="Z401" s="0" t="str">
        <f aca="false">IF(T401&lt;P401,"BeforeTime",IF(T401=P401,"Intime","Late"))</f>
        <v>Late</v>
      </c>
      <c r="AA401" s="0" t="str">
        <f aca="false">TEXT(J401,"mmm")</f>
        <v>Jun</v>
      </c>
      <c r="AB401" s="0" t="e">
        <f aca="false">xlookup(L401,Products!A:A,Products!B:B,"")</f>
        <v>#NAME?</v>
      </c>
    </row>
    <row r="402" customFormat="false" ht="15" hidden="false" customHeight="false" outlineLevel="0" collapsed="false">
      <c r="A402" s="0" t="s">
        <v>1486</v>
      </c>
      <c r="B402" s="0" t="s">
        <v>582</v>
      </c>
      <c r="C402" s="0" t="s">
        <v>113</v>
      </c>
      <c r="D402" s="0" t="n">
        <v>54</v>
      </c>
      <c r="E402" s="0" t="s">
        <v>48</v>
      </c>
      <c r="F402" s="0" t="s">
        <v>262</v>
      </c>
      <c r="G402" s="0" t="s">
        <v>1903</v>
      </c>
      <c r="H402" s="0" t="s">
        <v>1041</v>
      </c>
      <c r="I402" s="0" t="s">
        <v>1904</v>
      </c>
      <c r="J402" s="4" t="n">
        <v>45717</v>
      </c>
      <c r="K402" s="0" t="s">
        <v>1020</v>
      </c>
      <c r="L402" s="0" t="s">
        <v>42</v>
      </c>
      <c r="M402" s="5" t="n">
        <v>2199</v>
      </c>
      <c r="N402" s="0" t="n">
        <v>2</v>
      </c>
      <c r="O402" s="0" t="s">
        <v>83</v>
      </c>
      <c r="P402" s="0" t="n">
        <v>2</v>
      </c>
      <c r="Q402" s="5" t="n">
        <v>75</v>
      </c>
      <c r="R402" s="4" t="n">
        <v>45721</v>
      </c>
      <c r="S402" s="0" t="s">
        <v>1905</v>
      </c>
      <c r="T402" s="0" t="n">
        <f aca="false">R402-J402</f>
        <v>4</v>
      </c>
      <c r="U402" s="5" t="n">
        <f aca="false">M402*N402</f>
        <v>4398</v>
      </c>
      <c r="V402" s="6" t="n">
        <f aca="false">IF(O402="FLAT5",5%,IF(O402="FLAT10",10%,IF(O402="FLAT15",15%,IF(O402="FLAT20",20%,0))))</f>
        <v>0.05</v>
      </c>
      <c r="W402" s="5" t="n">
        <f aca="false">U402*(1-V402)</f>
        <v>4178.1</v>
      </c>
      <c r="X402" s="5" t="n">
        <f aca="false">W402+IF(O402="DEL0",0,Q402)</f>
        <v>4253.1</v>
      </c>
      <c r="Y402" s="0" t="str">
        <f aca="false">B402&amp;" "&amp;C402</f>
        <v>Kavya Rao</v>
      </c>
      <c r="Z402" s="0" t="str">
        <f aca="false">IF(T402&lt;P402,"BeforeTime",IF(T402=P402,"Intime","Late"))</f>
        <v>Late</v>
      </c>
      <c r="AA402" s="0" t="str">
        <f aca="false">TEXT(J402,"mmm")</f>
        <v>Mar</v>
      </c>
      <c r="AB402" s="0" t="e">
        <f aca="false">xlookup(L402,Products!A:A,Products!B:B,"")</f>
        <v>#NAME?</v>
      </c>
    </row>
    <row r="403" customFormat="false" ht="15" hidden="false" customHeight="false" outlineLevel="0" collapsed="false">
      <c r="A403" s="0" t="s">
        <v>1298</v>
      </c>
      <c r="B403" s="0" t="s">
        <v>86</v>
      </c>
      <c r="C403" s="0" t="s">
        <v>417</v>
      </c>
      <c r="D403" s="0" t="n">
        <v>29</v>
      </c>
      <c r="E403" s="0" t="s">
        <v>48</v>
      </c>
      <c r="F403" s="0" t="s">
        <v>248</v>
      </c>
      <c r="G403" s="0" t="s">
        <v>1906</v>
      </c>
      <c r="H403" s="0" t="s">
        <v>1894</v>
      </c>
      <c r="I403" s="0" t="s">
        <v>1907</v>
      </c>
      <c r="J403" s="4" t="n">
        <v>45720</v>
      </c>
      <c r="K403" s="0" t="s">
        <v>1325</v>
      </c>
      <c r="L403" s="0" t="s">
        <v>240</v>
      </c>
      <c r="M403" s="5" t="n">
        <v>4999</v>
      </c>
      <c r="N403" s="0" t="n">
        <v>2</v>
      </c>
      <c r="O403" s="0" t="s">
        <v>101</v>
      </c>
      <c r="P403" s="0" t="n">
        <v>2</v>
      </c>
      <c r="Q403" s="5" t="n">
        <v>75</v>
      </c>
      <c r="R403" s="4" t="n">
        <v>45722</v>
      </c>
      <c r="S403" s="0" t="s">
        <v>1908</v>
      </c>
      <c r="T403" s="0" t="n">
        <f aca="false">R403-J403</f>
        <v>2</v>
      </c>
      <c r="U403" s="5" t="n">
        <f aca="false">M403*N403</f>
        <v>9998</v>
      </c>
      <c r="V403" s="6" t="n">
        <f aca="false">IF(O403="FLAT5",5%,IF(O403="FLAT10",10%,IF(O403="FLAT15",15%,IF(O403="FLAT20",20%,0))))</f>
        <v>0.15</v>
      </c>
      <c r="W403" s="5" t="n">
        <f aca="false">U403*(1-V403)</f>
        <v>8498.3</v>
      </c>
      <c r="X403" s="5" t="n">
        <f aca="false">W403+IF(O403="DEL0",0,Q403)</f>
        <v>8573.3</v>
      </c>
      <c r="Y403" s="0" t="str">
        <f aca="false">B403&amp;" "&amp;C403</f>
        <v>Rahul Mehta</v>
      </c>
      <c r="Z403" s="0" t="str">
        <f aca="false">IF(T403&lt;P403,"BeforeTime",IF(T403=P403,"Intime","Late"))</f>
        <v>Intime</v>
      </c>
      <c r="AA403" s="0" t="str">
        <f aca="false">TEXT(J403,"mmm")</f>
        <v>Mar</v>
      </c>
      <c r="AB403" s="0" t="e">
        <f aca="false">xlookup(L403,Products!A:A,Products!B:B,"")</f>
        <v>#NAME?</v>
      </c>
    </row>
    <row r="404" customFormat="false" ht="15" hidden="false" customHeight="false" outlineLevel="0" collapsed="false">
      <c r="A404" s="0" t="s">
        <v>1389</v>
      </c>
      <c r="B404" s="0" t="s">
        <v>46</v>
      </c>
      <c r="C404" s="0" t="s">
        <v>229</v>
      </c>
      <c r="D404" s="0" t="n">
        <v>38</v>
      </c>
      <c r="E404" s="0" t="s">
        <v>48</v>
      </c>
      <c r="F404" s="0" t="s">
        <v>114</v>
      </c>
      <c r="G404" s="0" t="s">
        <v>1909</v>
      </c>
      <c r="H404" s="0" t="s">
        <v>1910</v>
      </c>
      <c r="I404" s="0" t="s">
        <v>1911</v>
      </c>
      <c r="J404" s="4" t="n">
        <v>45884</v>
      </c>
      <c r="K404" s="0" t="s">
        <v>1912</v>
      </c>
      <c r="L404" s="0" t="s">
        <v>64</v>
      </c>
      <c r="M404" s="5" t="n">
        <v>2799</v>
      </c>
      <c r="N404" s="0" t="n">
        <v>2</v>
      </c>
      <c r="O404" s="0" t="s">
        <v>54</v>
      </c>
      <c r="P404" s="0" t="n">
        <v>4</v>
      </c>
      <c r="Q404" s="5" t="n">
        <v>0</v>
      </c>
      <c r="R404" s="4" t="n">
        <v>45888</v>
      </c>
      <c r="S404" s="0" t="s">
        <v>1653</v>
      </c>
      <c r="T404" s="0" t="n">
        <f aca="false">R404-J404</f>
        <v>4</v>
      </c>
      <c r="U404" s="5" t="n">
        <f aca="false">M404*N404</f>
        <v>5598</v>
      </c>
      <c r="V404" s="6" t="n">
        <f aca="false">IF(O404="FLAT5",5%,IF(O404="FLAT10",10%,IF(O404="FLAT15",15%,IF(O404="FLAT20",20%,0))))</f>
        <v>0</v>
      </c>
      <c r="W404" s="5" t="n">
        <f aca="false">U404*(1-V404)</f>
        <v>5598</v>
      </c>
      <c r="X404" s="5" t="n">
        <f aca="false">W404+IF(O404="DEL0",0,Q404)</f>
        <v>5598</v>
      </c>
      <c r="Y404" s="0" t="str">
        <f aca="false">B404&amp;" "&amp;C404</f>
        <v>Sanjana Joshi</v>
      </c>
      <c r="Z404" s="0" t="str">
        <f aca="false">IF(T404&lt;P404,"BeforeTime",IF(T404=P404,"Intime","Late"))</f>
        <v>Intime</v>
      </c>
      <c r="AA404" s="0" t="str">
        <f aca="false">TEXT(J404,"mmm")</f>
        <v>Aug</v>
      </c>
      <c r="AB404" s="0" t="e">
        <f aca="false">xlookup(L404,Products!A:A,Products!B:B,"")</f>
        <v>#NAME?</v>
      </c>
    </row>
    <row r="405" customFormat="false" ht="15" hidden="false" customHeight="false" outlineLevel="0" collapsed="false">
      <c r="A405" s="0" t="s">
        <v>471</v>
      </c>
      <c r="B405" s="0" t="s">
        <v>122</v>
      </c>
      <c r="C405" s="0" t="s">
        <v>35</v>
      </c>
      <c r="D405" s="0" t="n">
        <v>45</v>
      </c>
      <c r="E405" s="0" t="s">
        <v>36</v>
      </c>
      <c r="F405" s="0" t="s">
        <v>248</v>
      </c>
      <c r="G405" s="0" t="s">
        <v>1913</v>
      </c>
      <c r="H405" s="0" t="s">
        <v>1798</v>
      </c>
      <c r="I405" s="0" t="s">
        <v>1914</v>
      </c>
      <c r="J405" s="4" t="n">
        <v>45969</v>
      </c>
      <c r="K405" s="0" t="s">
        <v>1915</v>
      </c>
      <c r="L405" s="0" t="s">
        <v>391</v>
      </c>
      <c r="M405" s="5" t="n">
        <v>3499</v>
      </c>
      <c r="N405" s="0" t="n">
        <v>1</v>
      </c>
      <c r="O405" s="0" t="s">
        <v>91</v>
      </c>
      <c r="P405" s="0" t="n">
        <v>7</v>
      </c>
      <c r="Q405" s="5" t="n">
        <v>90</v>
      </c>
      <c r="R405" s="4" t="n">
        <v>45976</v>
      </c>
      <c r="S405" s="0" t="s">
        <v>186</v>
      </c>
      <c r="T405" s="0" t="n">
        <f aca="false">R405-J405</f>
        <v>7</v>
      </c>
      <c r="U405" s="5" t="n">
        <f aca="false">M405*N405</f>
        <v>3499</v>
      </c>
      <c r="V405" s="6" t="n">
        <f aca="false">IF(O405="FLAT5",5%,IF(O405="FLAT10",10%,IF(O405="FLAT15",15%,IF(O405="FLAT20",20%,0))))</f>
        <v>0.1</v>
      </c>
      <c r="W405" s="5" t="n">
        <f aca="false">U405*(1-V405)</f>
        <v>3149.1</v>
      </c>
      <c r="X405" s="5" t="n">
        <f aca="false">W405+IF(O405="DEL0",0,Q405)</f>
        <v>3239.1</v>
      </c>
      <c r="Y405" s="0" t="str">
        <f aca="false">B405&amp;" "&amp;C405</f>
        <v>Meera Sharma</v>
      </c>
      <c r="Z405" s="0" t="str">
        <f aca="false">IF(T405&lt;P405,"BeforeTime",IF(T405=P405,"Intime","Late"))</f>
        <v>Intime</v>
      </c>
      <c r="AA405" s="0" t="str">
        <f aca="false">TEXT(J405,"mmm")</f>
        <v>Nov</v>
      </c>
      <c r="AB405" s="0" t="e">
        <f aca="false">xlookup(L405,Products!A:A,Products!B:B,"")</f>
        <v>#NAME?</v>
      </c>
    </row>
    <row r="406" customFormat="false" ht="15" hidden="false" customHeight="false" outlineLevel="0" collapsed="false">
      <c r="A406" s="0" t="s">
        <v>734</v>
      </c>
      <c r="B406" s="0" t="s">
        <v>394</v>
      </c>
      <c r="C406" s="0" t="s">
        <v>76</v>
      </c>
      <c r="D406" s="0" t="n">
        <v>52</v>
      </c>
      <c r="E406" s="0" t="s">
        <v>48</v>
      </c>
      <c r="F406" s="0" t="s">
        <v>37</v>
      </c>
      <c r="G406" s="0" t="s">
        <v>1916</v>
      </c>
      <c r="H406" s="0" t="s">
        <v>429</v>
      </c>
      <c r="I406" s="0" t="s">
        <v>1917</v>
      </c>
      <c r="J406" s="4" t="n">
        <v>45919</v>
      </c>
      <c r="K406" s="0" t="s">
        <v>1918</v>
      </c>
      <c r="L406" s="0" t="s">
        <v>53</v>
      </c>
      <c r="M406" s="5" t="n">
        <v>2499</v>
      </c>
      <c r="N406" s="0" t="n">
        <v>3</v>
      </c>
      <c r="O406" s="0" t="s">
        <v>43</v>
      </c>
      <c r="P406" s="0" t="n">
        <v>2</v>
      </c>
      <c r="Q406" s="5" t="n">
        <v>75</v>
      </c>
      <c r="R406" s="4" t="n">
        <v>45924</v>
      </c>
      <c r="S406" s="0" t="s">
        <v>1919</v>
      </c>
      <c r="T406" s="0" t="n">
        <f aca="false">R406-J406</f>
        <v>5</v>
      </c>
      <c r="U406" s="5" t="n">
        <f aca="false">M406*N406</f>
        <v>7497</v>
      </c>
      <c r="V406" s="6" t="n">
        <f aca="false">IF(O406="FLAT5",5%,IF(O406="FLAT10",10%,IF(O406="FLAT15",15%,IF(O406="FLAT20",20%,0))))</f>
        <v>0.2</v>
      </c>
      <c r="W406" s="5" t="n">
        <f aca="false">U406*(1-V406)</f>
        <v>5997.6</v>
      </c>
      <c r="X406" s="5" t="n">
        <f aca="false">W406+IF(O406="DEL0",0,Q406)</f>
        <v>6072.6</v>
      </c>
      <c r="Y406" s="0" t="str">
        <f aca="false">B406&amp;" "&amp;C406</f>
        <v>Kiran Patel</v>
      </c>
      <c r="Z406" s="0" t="str">
        <f aca="false">IF(T406&lt;P406,"BeforeTime",IF(T406=P406,"Intime","Late"))</f>
        <v>Late</v>
      </c>
      <c r="AA406" s="0" t="str">
        <f aca="false">TEXT(J406,"mmm")</f>
        <v>Sep</v>
      </c>
      <c r="AB406" s="0" t="e">
        <f aca="false">xlookup(L406,Products!A:A,Products!B:B,"")</f>
        <v>#NAME?</v>
      </c>
    </row>
    <row r="407" customFormat="false" ht="15" hidden="false" customHeight="false" outlineLevel="0" collapsed="false">
      <c r="A407" s="0" t="s">
        <v>1920</v>
      </c>
      <c r="B407" s="0" t="s">
        <v>122</v>
      </c>
      <c r="C407" s="0" t="s">
        <v>417</v>
      </c>
      <c r="D407" s="0" t="n">
        <v>42</v>
      </c>
      <c r="E407" s="0" t="s">
        <v>48</v>
      </c>
      <c r="F407" s="0" t="s">
        <v>248</v>
      </c>
      <c r="G407" s="0" t="s">
        <v>1921</v>
      </c>
      <c r="H407" s="0" t="s">
        <v>1396</v>
      </c>
      <c r="I407" s="0" t="s">
        <v>1922</v>
      </c>
      <c r="J407" s="4" t="n">
        <v>45885</v>
      </c>
      <c r="K407" s="0" t="s">
        <v>1923</v>
      </c>
      <c r="L407" s="0" t="s">
        <v>240</v>
      </c>
      <c r="M407" s="5" t="n">
        <v>4999</v>
      </c>
      <c r="N407" s="0" t="n">
        <v>1</v>
      </c>
      <c r="O407" s="0" t="s">
        <v>91</v>
      </c>
      <c r="P407" s="0" t="n">
        <v>7</v>
      </c>
      <c r="Q407" s="5" t="n">
        <v>60</v>
      </c>
      <c r="R407" s="4" t="n">
        <v>45896</v>
      </c>
      <c r="S407" s="0" t="s">
        <v>850</v>
      </c>
      <c r="T407" s="0" t="n">
        <f aca="false">R407-J407</f>
        <v>11</v>
      </c>
      <c r="U407" s="5" t="n">
        <f aca="false">M407*N407</f>
        <v>4999</v>
      </c>
      <c r="V407" s="6" t="n">
        <f aca="false">IF(O407="FLAT5",5%,IF(O407="FLAT10",10%,IF(O407="FLAT15",15%,IF(O407="FLAT20",20%,0))))</f>
        <v>0.1</v>
      </c>
      <c r="W407" s="5" t="n">
        <f aca="false">U407*(1-V407)</f>
        <v>4499.1</v>
      </c>
      <c r="X407" s="5" t="n">
        <f aca="false">W407+IF(O407="DEL0",0,Q407)</f>
        <v>4559.1</v>
      </c>
      <c r="Y407" s="0" t="str">
        <f aca="false">B407&amp;" "&amp;C407</f>
        <v>Meera Mehta</v>
      </c>
      <c r="Z407" s="0" t="str">
        <f aca="false">IF(T407&lt;P407,"BeforeTime",IF(T407=P407,"Intime","Late"))</f>
        <v>Late</v>
      </c>
      <c r="AA407" s="0" t="str">
        <f aca="false">TEXT(J407,"mmm")</f>
        <v>Aug</v>
      </c>
      <c r="AB407" s="0" t="e">
        <f aca="false">xlookup(L407,Products!A:A,Products!B:B,"")</f>
        <v>#NAME?</v>
      </c>
    </row>
    <row r="408" customFormat="false" ht="15" hidden="false" customHeight="false" outlineLevel="0" collapsed="false">
      <c r="A408" s="0" t="s">
        <v>1924</v>
      </c>
      <c r="B408" s="0" t="s">
        <v>94</v>
      </c>
      <c r="C408" s="0" t="s">
        <v>76</v>
      </c>
      <c r="D408" s="0" t="n">
        <v>29</v>
      </c>
      <c r="E408" s="0" t="s">
        <v>36</v>
      </c>
      <c r="F408" s="0" t="s">
        <v>114</v>
      </c>
      <c r="G408" s="0" t="s">
        <v>1925</v>
      </c>
      <c r="H408" s="0" t="s">
        <v>1477</v>
      </c>
      <c r="I408" s="0" t="s">
        <v>1926</v>
      </c>
      <c r="J408" s="4" t="n">
        <v>45960</v>
      </c>
      <c r="K408" s="0" t="s">
        <v>1927</v>
      </c>
      <c r="L408" s="0" t="s">
        <v>53</v>
      </c>
      <c r="M408" s="5" t="n">
        <v>2499</v>
      </c>
      <c r="N408" s="0" t="n">
        <v>3</v>
      </c>
      <c r="O408" s="0" t="s">
        <v>83</v>
      </c>
      <c r="P408" s="0" t="n">
        <v>5</v>
      </c>
      <c r="Q408" s="5" t="n">
        <v>120</v>
      </c>
      <c r="R408" s="4" t="n">
        <v>45964</v>
      </c>
      <c r="S408" s="0" t="s">
        <v>1928</v>
      </c>
      <c r="T408" s="0" t="n">
        <f aca="false">R408-J408</f>
        <v>4</v>
      </c>
      <c r="U408" s="5" t="n">
        <f aca="false">M408*N408</f>
        <v>7497</v>
      </c>
      <c r="V408" s="6" t="n">
        <f aca="false">IF(O408="FLAT5",5%,IF(O408="FLAT10",10%,IF(O408="FLAT15",15%,IF(O408="FLAT20",20%,0))))</f>
        <v>0.05</v>
      </c>
      <c r="W408" s="5" t="n">
        <f aca="false">U408*(1-V408)</f>
        <v>7122.15</v>
      </c>
      <c r="X408" s="5" t="n">
        <f aca="false">W408+IF(O408="DEL0",0,Q408)</f>
        <v>7242.15</v>
      </c>
      <c r="Y408" s="0" t="str">
        <f aca="false">B408&amp;" "&amp;C408</f>
        <v>Manoj Patel</v>
      </c>
      <c r="Z408" s="0" t="str">
        <f aca="false">IF(T408&lt;P408,"BeforeTime",IF(T408=P408,"Intime","Late"))</f>
        <v>BeforeTime</v>
      </c>
      <c r="AA408" s="0" t="str">
        <f aca="false">TEXT(J408,"mmm")</f>
        <v>Oct</v>
      </c>
      <c r="AB408" s="0" t="e">
        <f aca="false">xlookup(L408,Products!A:A,Products!B:B,"")</f>
        <v>#NAME?</v>
      </c>
    </row>
    <row r="409" customFormat="false" ht="15" hidden="false" customHeight="false" outlineLevel="0" collapsed="false">
      <c r="A409" s="0" t="s">
        <v>839</v>
      </c>
      <c r="B409" s="0" t="s">
        <v>94</v>
      </c>
      <c r="C409" s="0" t="s">
        <v>195</v>
      </c>
      <c r="D409" s="0" t="n">
        <v>32</v>
      </c>
      <c r="E409" s="0" t="s">
        <v>36</v>
      </c>
      <c r="F409" s="0" t="s">
        <v>160</v>
      </c>
      <c r="G409" s="0" t="s">
        <v>1929</v>
      </c>
      <c r="H409" s="0" t="s">
        <v>1930</v>
      </c>
      <c r="I409" s="0" t="s">
        <v>1931</v>
      </c>
      <c r="J409" s="4" t="n">
        <v>45812</v>
      </c>
      <c r="K409" s="0" t="s">
        <v>490</v>
      </c>
      <c r="L409" s="0" t="s">
        <v>72</v>
      </c>
      <c r="M409" s="5" t="n">
        <v>1299</v>
      </c>
      <c r="N409" s="0" t="n">
        <v>4</v>
      </c>
      <c r="O409" s="0" t="s">
        <v>83</v>
      </c>
      <c r="P409" s="0" t="n">
        <v>6</v>
      </c>
      <c r="Q409" s="5" t="n">
        <v>90</v>
      </c>
      <c r="R409" s="4" t="n">
        <v>45818</v>
      </c>
      <c r="S409" s="0" t="s">
        <v>1527</v>
      </c>
      <c r="T409" s="0" t="n">
        <f aca="false">R409-J409</f>
        <v>6</v>
      </c>
      <c r="U409" s="5" t="n">
        <f aca="false">M409*N409</f>
        <v>5196</v>
      </c>
      <c r="V409" s="6" t="n">
        <f aca="false">IF(O409="FLAT5",5%,IF(O409="FLAT10",10%,IF(O409="FLAT15",15%,IF(O409="FLAT20",20%,0))))</f>
        <v>0.05</v>
      </c>
      <c r="W409" s="5" t="n">
        <f aca="false">U409*(1-V409)</f>
        <v>4936.2</v>
      </c>
      <c r="X409" s="5" t="n">
        <f aca="false">W409+IF(O409="DEL0",0,Q409)</f>
        <v>5026.2</v>
      </c>
      <c r="Y409" s="0" t="str">
        <f aca="false">B409&amp;" "&amp;C409</f>
        <v>Manoj Singh</v>
      </c>
      <c r="Z409" s="0" t="str">
        <f aca="false">IF(T409&lt;P409,"BeforeTime",IF(T409=P409,"Intime","Late"))</f>
        <v>Intime</v>
      </c>
      <c r="AA409" s="0" t="str">
        <f aca="false">TEXT(J409,"mmm")</f>
        <v>Jun</v>
      </c>
      <c r="AB409" s="0" t="e">
        <f aca="false">xlookup(L409,Products!A:A,Products!B:B,"")</f>
        <v>#NAME?</v>
      </c>
    </row>
    <row r="410" customFormat="false" ht="15" hidden="false" customHeight="false" outlineLevel="0" collapsed="false">
      <c r="A410" s="0" t="s">
        <v>714</v>
      </c>
      <c r="B410" s="0" t="s">
        <v>75</v>
      </c>
      <c r="C410" s="0" t="s">
        <v>368</v>
      </c>
      <c r="D410" s="0" t="n">
        <v>50</v>
      </c>
      <c r="E410" s="0" t="s">
        <v>36</v>
      </c>
      <c r="F410" s="0" t="s">
        <v>114</v>
      </c>
      <c r="G410" s="0" t="s">
        <v>1932</v>
      </c>
      <c r="H410" s="0" t="s">
        <v>1933</v>
      </c>
      <c r="I410" s="0" t="s">
        <v>1934</v>
      </c>
      <c r="J410" s="4" t="n">
        <v>46010</v>
      </c>
      <c r="K410" s="0" t="s">
        <v>1644</v>
      </c>
      <c r="L410" s="0" t="s">
        <v>136</v>
      </c>
      <c r="M410" s="5" t="n">
        <v>1799</v>
      </c>
      <c r="N410" s="0" t="n">
        <v>2</v>
      </c>
      <c r="O410" s="0" t="s">
        <v>101</v>
      </c>
      <c r="P410" s="0" t="n">
        <v>7</v>
      </c>
      <c r="Q410" s="5" t="n">
        <v>40</v>
      </c>
      <c r="R410" s="4" t="n">
        <v>46017</v>
      </c>
      <c r="S410" s="0" t="s">
        <v>1935</v>
      </c>
      <c r="T410" s="0" t="n">
        <f aca="false">R410-J410</f>
        <v>7</v>
      </c>
      <c r="U410" s="5" t="n">
        <f aca="false">M410*N410</f>
        <v>3598</v>
      </c>
      <c r="V410" s="6" t="n">
        <f aca="false">IF(O410="FLAT5",5%,IF(O410="FLAT10",10%,IF(O410="FLAT15",15%,IF(O410="FLAT20",20%,0))))</f>
        <v>0.15</v>
      </c>
      <c r="W410" s="5" t="n">
        <f aca="false">U410*(1-V410)</f>
        <v>3058.3</v>
      </c>
      <c r="X410" s="5" t="n">
        <f aca="false">W410+IF(O410="DEL0",0,Q410)</f>
        <v>3098.3</v>
      </c>
      <c r="Y410" s="0" t="str">
        <f aca="false">B410&amp;" "&amp;C410</f>
        <v>Vikram Das</v>
      </c>
      <c r="Z410" s="0" t="str">
        <f aca="false">IF(T410&lt;P410,"BeforeTime",IF(T410=P410,"Intime","Late"))</f>
        <v>Intime</v>
      </c>
      <c r="AA410" s="0" t="str">
        <f aca="false">TEXT(J410,"mmm")</f>
        <v>Dec</v>
      </c>
      <c r="AB410" s="0" t="e">
        <f aca="false">xlookup(L410,Products!A:A,Products!B:B,"")</f>
        <v>#NAME?</v>
      </c>
    </row>
    <row r="411" customFormat="false" ht="15" hidden="false" customHeight="false" outlineLevel="0" collapsed="false">
      <c r="A411" s="0" t="s">
        <v>1357</v>
      </c>
      <c r="B411" s="0" t="s">
        <v>94</v>
      </c>
      <c r="C411" s="0" t="s">
        <v>167</v>
      </c>
      <c r="D411" s="0" t="n">
        <v>56</v>
      </c>
      <c r="E411" s="0" t="s">
        <v>48</v>
      </c>
      <c r="F411" s="0" t="s">
        <v>114</v>
      </c>
      <c r="G411" s="0" t="s">
        <v>1936</v>
      </c>
      <c r="H411" s="0" t="s">
        <v>1937</v>
      </c>
      <c r="I411" s="0" t="s">
        <v>1938</v>
      </c>
      <c r="J411" s="4" t="n">
        <v>45719</v>
      </c>
      <c r="K411" s="0" t="s">
        <v>1748</v>
      </c>
      <c r="L411" s="0" t="s">
        <v>119</v>
      </c>
      <c r="M411" s="5" t="n">
        <v>899</v>
      </c>
      <c r="N411" s="0" t="n">
        <v>4</v>
      </c>
      <c r="O411" s="0" t="s">
        <v>259</v>
      </c>
      <c r="P411" s="0" t="n">
        <v>4</v>
      </c>
      <c r="Q411" s="5" t="n">
        <v>90</v>
      </c>
      <c r="R411" s="4" t="n">
        <v>45723</v>
      </c>
      <c r="S411" s="0" t="s">
        <v>1526</v>
      </c>
      <c r="T411" s="0" t="n">
        <f aca="false">R411-J411</f>
        <v>4</v>
      </c>
      <c r="U411" s="5" t="n">
        <f aca="false">M411*N411</f>
        <v>3596</v>
      </c>
      <c r="V411" s="6" t="n">
        <f aca="false">IF(O411="FLAT5",5%,IF(O411="FLAT10",10%,IF(O411="FLAT15",15%,IF(O411="FLAT20",20%,0))))</f>
        <v>0</v>
      </c>
      <c r="W411" s="5" t="n">
        <f aca="false">U411*(1-V411)</f>
        <v>3596</v>
      </c>
      <c r="X411" s="5" t="n">
        <f aca="false">W411+IF(O411="DEL0",0,Q411)</f>
        <v>3686</v>
      </c>
      <c r="Y411" s="0" t="str">
        <f aca="false">B411&amp;" "&amp;C411</f>
        <v>Manoj Chowdhury</v>
      </c>
      <c r="Z411" s="0" t="str">
        <f aca="false">IF(T411&lt;P411,"BeforeTime",IF(T411=P411,"Intime","Late"))</f>
        <v>Intime</v>
      </c>
      <c r="AA411" s="0" t="str">
        <f aca="false">TEXT(J411,"mmm")</f>
        <v>Mar</v>
      </c>
      <c r="AB411" s="0" t="e">
        <f aca="false">xlookup(L411,Products!A:A,Products!B:B,"")</f>
        <v>#NAME?</v>
      </c>
    </row>
    <row r="412" customFormat="false" ht="15" hidden="false" customHeight="false" outlineLevel="0" collapsed="false">
      <c r="A412" s="0" t="s">
        <v>343</v>
      </c>
      <c r="B412" s="0" t="s">
        <v>394</v>
      </c>
      <c r="C412" s="0" t="s">
        <v>195</v>
      </c>
      <c r="D412" s="0" t="n">
        <v>42</v>
      </c>
      <c r="E412" s="0" t="s">
        <v>36</v>
      </c>
      <c r="F412" s="0" t="s">
        <v>202</v>
      </c>
      <c r="G412" s="0" t="s">
        <v>1939</v>
      </c>
      <c r="H412" s="0" t="s">
        <v>1940</v>
      </c>
      <c r="I412" s="0" t="s">
        <v>1941</v>
      </c>
      <c r="J412" s="4" t="n">
        <v>45840</v>
      </c>
      <c r="K412" s="0" t="s">
        <v>1942</v>
      </c>
      <c r="L412" s="0" t="s">
        <v>72</v>
      </c>
      <c r="M412" s="5" t="n">
        <v>1299</v>
      </c>
      <c r="N412" s="0" t="n">
        <v>3</v>
      </c>
      <c r="O412" s="0" t="s">
        <v>91</v>
      </c>
      <c r="P412" s="0" t="n">
        <v>2</v>
      </c>
      <c r="Q412" s="5" t="n">
        <v>90</v>
      </c>
      <c r="R412" s="4" t="n">
        <v>45842</v>
      </c>
      <c r="S412" s="0" t="s">
        <v>1943</v>
      </c>
      <c r="T412" s="0" t="n">
        <f aca="false">R412-J412</f>
        <v>2</v>
      </c>
      <c r="U412" s="5" t="n">
        <f aca="false">M412*N412</f>
        <v>3897</v>
      </c>
      <c r="V412" s="6" t="n">
        <f aca="false">IF(O412="FLAT5",5%,IF(O412="FLAT10",10%,IF(O412="FLAT15",15%,IF(O412="FLAT20",20%,0))))</f>
        <v>0.1</v>
      </c>
      <c r="W412" s="5" t="n">
        <f aca="false">U412*(1-V412)</f>
        <v>3507.3</v>
      </c>
      <c r="X412" s="5" t="n">
        <f aca="false">W412+IF(O412="DEL0",0,Q412)</f>
        <v>3597.3</v>
      </c>
      <c r="Y412" s="0" t="str">
        <f aca="false">B412&amp;" "&amp;C412</f>
        <v>Kiran Singh</v>
      </c>
      <c r="Z412" s="0" t="str">
        <f aca="false">IF(T412&lt;P412,"BeforeTime",IF(T412=P412,"Intime","Late"))</f>
        <v>Intime</v>
      </c>
      <c r="AA412" s="0" t="str">
        <f aca="false">TEXT(J412,"mmm")</f>
        <v>Jul</v>
      </c>
      <c r="AB412" s="0" t="e">
        <f aca="false">xlookup(L412,Products!A:A,Products!B:B,"")</f>
        <v>#NAME?</v>
      </c>
    </row>
    <row r="413" customFormat="false" ht="15" hidden="false" customHeight="false" outlineLevel="0" collapsed="false">
      <c r="A413" s="0" t="s">
        <v>1861</v>
      </c>
      <c r="B413" s="0" t="s">
        <v>34</v>
      </c>
      <c r="C413" s="0" t="s">
        <v>113</v>
      </c>
      <c r="D413" s="0" t="n">
        <v>54</v>
      </c>
      <c r="E413" s="0" t="s">
        <v>48</v>
      </c>
      <c r="F413" s="0" t="s">
        <v>59</v>
      </c>
      <c r="G413" s="0" t="s">
        <v>1944</v>
      </c>
      <c r="H413" s="0" t="s">
        <v>1945</v>
      </c>
      <c r="I413" s="0" t="s">
        <v>1946</v>
      </c>
      <c r="J413" s="4" t="n">
        <v>46015</v>
      </c>
      <c r="K413" s="0" t="s">
        <v>1947</v>
      </c>
      <c r="L413" s="0" t="s">
        <v>119</v>
      </c>
      <c r="M413" s="5" t="n">
        <v>899</v>
      </c>
      <c r="N413" s="0" t="n">
        <v>3</v>
      </c>
      <c r="O413" s="0" t="s">
        <v>91</v>
      </c>
      <c r="P413" s="0" t="n">
        <v>7</v>
      </c>
      <c r="Q413" s="5" t="n">
        <v>90</v>
      </c>
      <c r="R413" s="4" t="n">
        <v>46022</v>
      </c>
      <c r="S413" s="0" t="s">
        <v>1948</v>
      </c>
      <c r="T413" s="0" t="n">
        <f aca="false">R413-J413</f>
        <v>7</v>
      </c>
      <c r="U413" s="5" t="n">
        <f aca="false">M413*N413</f>
        <v>2697</v>
      </c>
      <c r="V413" s="6" t="n">
        <f aca="false">IF(O413="FLAT5",5%,IF(O413="FLAT10",10%,IF(O413="FLAT15",15%,IF(O413="FLAT20",20%,0))))</f>
        <v>0.1</v>
      </c>
      <c r="W413" s="5" t="n">
        <f aca="false">U413*(1-V413)</f>
        <v>2427.3</v>
      </c>
      <c r="X413" s="5" t="n">
        <f aca="false">W413+IF(O413="DEL0",0,Q413)</f>
        <v>2517.3</v>
      </c>
      <c r="Y413" s="0" t="str">
        <f aca="false">B413&amp;" "&amp;C413</f>
        <v>Diya Rao</v>
      </c>
      <c r="Z413" s="0" t="str">
        <f aca="false">IF(T413&lt;P413,"BeforeTime",IF(T413=P413,"Intime","Late"))</f>
        <v>Intime</v>
      </c>
      <c r="AA413" s="0" t="str">
        <f aca="false">TEXT(J413,"mmm")</f>
        <v>Dec</v>
      </c>
      <c r="AB413" s="0" t="e">
        <f aca="false">xlookup(L413,Products!A:A,Products!B:B,"")</f>
        <v>#NAME?</v>
      </c>
    </row>
    <row r="414" customFormat="false" ht="15" hidden="false" customHeight="false" outlineLevel="0" collapsed="false">
      <c r="A414" s="0" t="s">
        <v>708</v>
      </c>
      <c r="B414" s="0" t="s">
        <v>67</v>
      </c>
      <c r="C414" s="0" t="s">
        <v>167</v>
      </c>
      <c r="D414" s="0" t="n">
        <v>46</v>
      </c>
      <c r="E414" s="0" t="s">
        <v>48</v>
      </c>
      <c r="F414" s="0" t="s">
        <v>262</v>
      </c>
      <c r="G414" s="0" t="s">
        <v>1949</v>
      </c>
      <c r="H414" s="0" t="s">
        <v>1950</v>
      </c>
      <c r="I414" s="0" t="s">
        <v>1951</v>
      </c>
      <c r="J414" s="4" t="n">
        <v>45771</v>
      </c>
      <c r="K414" s="0" t="s">
        <v>1628</v>
      </c>
      <c r="L414" s="0" t="s">
        <v>129</v>
      </c>
      <c r="M414" s="5" t="n">
        <v>2999</v>
      </c>
      <c r="N414" s="0" t="n">
        <v>2</v>
      </c>
      <c r="O414" s="0" t="s">
        <v>83</v>
      </c>
      <c r="P414" s="0" t="n">
        <v>3</v>
      </c>
      <c r="Q414" s="5" t="n">
        <v>75</v>
      </c>
      <c r="R414" s="4" t="n">
        <v>45775</v>
      </c>
      <c r="S414" s="0" t="s">
        <v>1679</v>
      </c>
      <c r="T414" s="0" t="n">
        <f aca="false">R414-J414</f>
        <v>4</v>
      </c>
      <c r="U414" s="5" t="n">
        <f aca="false">M414*N414</f>
        <v>5998</v>
      </c>
      <c r="V414" s="6" t="n">
        <f aca="false">IF(O414="FLAT5",5%,IF(O414="FLAT10",10%,IF(O414="FLAT15",15%,IF(O414="FLAT20",20%,0))))</f>
        <v>0.05</v>
      </c>
      <c r="W414" s="5" t="n">
        <f aca="false">U414*(1-V414)</f>
        <v>5698.1</v>
      </c>
      <c r="X414" s="5" t="n">
        <f aca="false">W414+IF(O414="DEL0",0,Q414)</f>
        <v>5773.1</v>
      </c>
      <c r="Y414" s="0" t="str">
        <f aca="false">B414&amp;" "&amp;C414</f>
        <v>Priya Chowdhury</v>
      </c>
      <c r="Z414" s="0" t="str">
        <f aca="false">IF(T414&lt;P414,"BeforeTime",IF(T414=P414,"Intime","Late"))</f>
        <v>Late</v>
      </c>
      <c r="AA414" s="0" t="str">
        <f aca="false">TEXT(J414,"mmm")</f>
        <v>Apr</v>
      </c>
      <c r="AB414" s="0" t="e">
        <f aca="false">xlookup(L414,Products!A:A,Products!B:B,"")</f>
        <v>#NAME?</v>
      </c>
    </row>
    <row r="415" customFormat="false" ht="15" hidden="false" customHeight="false" outlineLevel="0" collapsed="false">
      <c r="A415" s="0" t="s">
        <v>471</v>
      </c>
      <c r="B415" s="0" t="s">
        <v>67</v>
      </c>
      <c r="C415" s="0" t="s">
        <v>368</v>
      </c>
      <c r="D415" s="0" t="n">
        <v>43</v>
      </c>
      <c r="E415" s="0" t="s">
        <v>36</v>
      </c>
      <c r="F415" s="0" t="s">
        <v>248</v>
      </c>
      <c r="G415" s="0" t="s">
        <v>1952</v>
      </c>
      <c r="H415" s="0" t="s">
        <v>1248</v>
      </c>
      <c r="I415" s="0" t="s">
        <v>1953</v>
      </c>
      <c r="J415" s="4" t="n">
        <v>45813</v>
      </c>
      <c r="K415" s="0" t="s">
        <v>1594</v>
      </c>
      <c r="L415" s="0" t="s">
        <v>64</v>
      </c>
      <c r="M415" s="5" t="n">
        <v>2799</v>
      </c>
      <c r="N415" s="0" t="n">
        <v>3</v>
      </c>
      <c r="O415" s="0" t="s">
        <v>83</v>
      </c>
      <c r="P415" s="0" t="n">
        <v>2</v>
      </c>
      <c r="Q415" s="5" t="n">
        <v>40</v>
      </c>
      <c r="R415" s="4" t="n">
        <v>45815</v>
      </c>
      <c r="S415" s="0" t="s">
        <v>1954</v>
      </c>
      <c r="T415" s="0" t="n">
        <f aca="false">R415-J415</f>
        <v>2</v>
      </c>
      <c r="U415" s="5" t="n">
        <f aca="false">M415*N415</f>
        <v>8397</v>
      </c>
      <c r="V415" s="6" t="n">
        <f aca="false">IF(O415="FLAT5",5%,IF(O415="FLAT10",10%,IF(O415="FLAT15",15%,IF(O415="FLAT20",20%,0))))</f>
        <v>0.05</v>
      </c>
      <c r="W415" s="5" t="n">
        <f aca="false">U415*(1-V415)</f>
        <v>7977.15</v>
      </c>
      <c r="X415" s="5" t="n">
        <f aca="false">W415+IF(O415="DEL0",0,Q415)</f>
        <v>8017.15</v>
      </c>
      <c r="Y415" s="0" t="str">
        <f aca="false">B415&amp;" "&amp;C415</f>
        <v>Priya Das</v>
      </c>
      <c r="Z415" s="0" t="str">
        <f aca="false">IF(T415&lt;P415,"BeforeTime",IF(T415=P415,"Intime","Late"))</f>
        <v>Intime</v>
      </c>
      <c r="AA415" s="0" t="str">
        <f aca="false">TEXT(J415,"mmm")</f>
        <v>Jun</v>
      </c>
      <c r="AB415" s="0" t="e">
        <f aca="false">xlookup(L415,Products!A:A,Products!B:B,"")</f>
        <v>#NAME?</v>
      </c>
    </row>
    <row r="416" customFormat="false" ht="15" hidden="false" customHeight="false" outlineLevel="0" collapsed="false">
      <c r="A416" s="0" t="s">
        <v>481</v>
      </c>
      <c r="B416" s="0" t="s">
        <v>188</v>
      </c>
      <c r="C416" s="0" t="s">
        <v>195</v>
      </c>
      <c r="D416" s="0" t="n">
        <v>25</v>
      </c>
      <c r="E416" s="0" t="s">
        <v>48</v>
      </c>
      <c r="F416" s="0" t="s">
        <v>140</v>
      </c>
      <c r="G416" s="0" t="s">
        <v>1955</v>
      </c>
      <c r="H416" s="0" t="s">
        <v>1221</v>
      </c>
      <c r="I416" s="0" t="s">
        <v>1956</v>
      </c>
      <c r="J416" s="4" t="n">
        <v>45878</v>
      </c>
      <c r="K416" s="0" t="s">
        <v>1748</v>
      </c>
      <c r="L416" s="0" t="s">
        <v>129</v>
      </c>
      <c r="M416" s="5" t="n">
        <v>2999</v>
      </c>
      <c r="N416" s="0" t="n">
        <v>1</v>
      </c>
      <c r="O416" s="0" t="s">
        <v>54</v>
      </c>
      <c r="P416" s="0" t="n">
        <v>2</v>
      </c>
      <c r="Q416" s="5" t="n">
        <v>0</v>
      </c>
      <c r="R416" s="4" t="n">
        <v>45880</v>
      </c>
      <c r="S416" s="0" t="s">
        <v>1957</v>
      </c>
      <c r="T416" s="0" t="n">
        <f aca="false">R416-J416</f>
        <v>2</v>
      </c>
      <c r="U416" s="5" t="n">
        <f aca="false">M416*N416</f>
        <v>2999</v>
      </c>
      <c r="V416" s="6" t="n">
        <f aca="false">IF(O416="FLAT5",5%,IF(O416="FLAT10",10%,IF(O416="FLAT15",15%,IF(O416="FLAT20",20%,0))))</f>
        <v>0</v>
      </c>
      <c r="W416" s="5" t="n">
        <f aca="false">U416*(1-V416)</f>
        <v>2999</v>
      </c>
      <c r="X416" s="5" t="n">
        <f aca="false">W416+IF(O416="DEL0",0,Q416)</f>
        <v>2999</v>
      </c>
      <c r="Y416" s="0" t="str">
        <f aca="false">B416&amp;" "&amp;C416</f>
        <v>Rohan Singh</v>
      </c>
      <c r="Z416" s="0" t="str">
        <f aca="false">IF(T416&lt;P416,"BeforeTime",IF(T416=P416,"Intime","Late"))</f>
        <v>Intime</v>
      </c>
      <c r="AA416" s="0" t="str">
        <f aca="false">TEXT(J416,"mmm")</f>
        <v>Aug</v>
      </c>
      <c r="AB416" s="0" t="e">
        <f aca="false">xlookup(L416,Products!A:A,Products!B:B,"")</f>
        <v>#NAME?</v>
      </c>
    </row>
    <row r="417" customFormat="false" ht="15" hidden="false" customHeight="false" outlineLevel="0" collapsed="false">
      <c r="A417" s="0" t="s">
        <v>1550</v>
      </c>
      <c r="B417" s="0" t="s">
        <v>75</v>
      </c>
      <c r="C417" s="0" t="s">
        <v>210</v>
      </c>
      <c r="D417" s="0" t="n">
        <v>24</v>
      </c>
      <c r="E417" s="0" t="s">
        <v>48</v>
      </c>
      <c r="F417" s="0" t="s">
        <v>202</v>
      </c>
      <c r="G417" s="0" t="s">
        <v>1958</v>
      </c>
      <c r="H417" s="0" t="s">
        <v>1959</v>
      </c>
      <c r="I417" s="0" t="s">
        <v>1960</v>
      </c>
      <c r="J417" s="4" t="n">
        <v>45763</v>
      </c>
      <c r="K417" s="0" t="s">
        <v>511</v>
      </c>
      <c r="L417" s="0" t="s">
        <v>129</v>
      </c>
      <c r="M417" s="5" t="n">
        <v>2999</v>
      </c>
      <c r="N417" s="0" t="n">
        <v>1</v>
      </c>
      <c r="O417" s="0" t="s">
        <v>259</v>
      </c>
      <c r="P417" s="0" t="n">
        <v>6</v>
      </c>
      <c r="Q417" s="5" t="n">
        <v>120</v>
      </c>
      <c r="R417" s="4" t="n">
        <v>45771</v>
      </c>
      <c r="S417" s="0" t="s">
        <v>1496</v>
      </c>
      <c r="T417" s="0" t="n">
        <f aca="false">R417-J417</f>
        <v>8</v>
      </c>
      <c r="U417" s="5" t="n">
        <f aca="false">M417*N417</f>
        <v>2999</v>
      </c>
      <c r="V417" s="6" t="n">
        <f aca="false">IF(O417="FLAT5",5%,IF(O417="FLAT10",10%,IF(O417="FLAT15",15%,IF(O417="FLAT20",20%,0))))</f>
        <v>0</v>
      </c>
      <c r="W417" s="5" t="n">
        <f aca="false">U417*(1-V417)</f>
        <v>2999</v>
      </c>
      <c r="X417" s="5" t="n">
        <f aca="false">W417+IF(O417="DEL0",0,Q417)</f>
        <v>3119</v>
      </c>
      <c r="Y417" s="0" t="str">
        <f aca="false">B417&amp;" "&amp;C417</f>
        <v>Vikram Reddy</v>
      </c>
      <c r="Z417" s="0" t="str">
        <f aca="false">IF(T417&lt;P417,"BeforeTime",IF(T417=P417,"Intime","Late"))</f>
        <v>Late</v>
      </c>
      <c r="AA417" s="0" t="str">
        <f aca="false">TEXT(J417,"mmm")</f>
        <v>Apr</v>
      </c>
      <c r="AB417" s="0" t="e">
        <f aca="false">xlookup(L417,Products!A:A,Products!B:B,"")</f>
        <v>#NAME?</v>
      </c>
    </row>
    <row r="418" customFormat="false" ht="15" hidden="false" customHeight="false" outlineLevel="0" collapsed="false">
      <c r="A418" s="0" t="s">
        <v>829</v>
      </c>
      <c r="B418" s="0" t="s">
        <v>94</v>
      </c>
      <c r="C418" s="0" t="s">
        <v>417</v>
      </c>
      <c r="D418" s="0" t="n">
        <v>42</v>
      </c>
      <c r="E418" s="0" t="s">
        <v>36</v>
      </c>
      <c r="F418" s="0" t="s">
        <v>77</v>
      </c>
      <c r="G418" s="0" t="s">
        <v>1961</v>
      </c>
      <c r="H418" s="0" t="s">
        <v>1962</v>
      </c>
      <c r="I418" s="0" t="s">
        <v>1963</v>
      </c>
      <c r="J418" s="4" t="n">
        <v>45692</v>
      </c>
      <c r="K418" s="0" t="s">
        <v>1800</v>
      </c>
      <c r="L418" s="0" t="s">
        <v>82</v>
      </c>
      <c r="M418" s="5" t="n">
        <v>1199</v>
      </c>
      <c r="N418" s="0" t="n">
        <v>2</v>
      </c>
      <c r="O418" s="0" t="s">
        <v>101</v>
      </c>
      <c r="P418" s="0" t="n">
        <v>2</v>
      </c>
      <c r="Q418" s="5" t="n">
        <v>90</v>
      </c>
      <c r="R418" s="4" t="n">
        <v>45695</v>
      </c>
      <c r="S418" s="0" t="s">
        <v>1352</v>
      </c>
      <c r="T418" s="0" t="n">
        <f aca="false">R418-J418</f>
        <v>3</v>
      </c>
      <c r="U418" s="5" t="n">
        <f aca="false">M418*N418</f>
        <v>2398</v>
      </c>
      <c r="V418" s="6" t="n">
        <f aca="false">IF(O418="FLAT5",5%,IF(O418="FLAT10",10%,IF(O418="FLAT15",15%,IF(O418="FLAT20",20%,0))))</f>
        <v>0.15</v>
      </c>
      <c r="W418" s="5" t="n">
        <f aca="false">U418*(1-V418)</f>
        <v>2038.3</v>
      </c>
      <c r="X418" s="5" t="n">
        <f aca="false">W418+IF(O418="DEL0",0,Q418)</f>
        <v>2128.3</v>
      </c>
      <c r="Y418" s="0" t="str">
        <f aca="false">B418&amp;" "&amp;C418</f>
        <v>Manoj Mehta</v>
      </c>
      <c r="Z418" s="0" t="str">
        <f aca="false">IF(T418&lt;P418,"BeforeTime",IF(T418=P418,"Intime","Late"))</f>
        <v>Late</v>
      </c>
      <c r="AA418" s="0" t="str">
        <f aca="false">TEXT(J418,"mmm")</f>
        <v>Feb</v>
      </c>
      <c r="AB418" s="0" t="e">
        <f aca="false">xlookup(L418,Products!A:A,Products!B:B,"")</f>
        <v>#NAME?</v>
      </c>
    </row>
    <row r="419" customFormat="false" ht="15" hidden="false" customHeight="false" outlineLevel="0" collapsed="false">
      <c r="A419" s="0" t="s">
        <v>275</v>
      </c>
      <c r="B419" s="0" t="s">
        <v>34</v>
      </c>
      <c r="C419" s="0" t="s">
        <v>47</v>
      </c>
      <c r="D419" s="0" t="n">
        <v>52</v>
      </c>
      <c r="E419" s="0" t="s">
        <v>48</v>
      </c>
      <c r="F419" s="0" t="s">
        <v>59</v>
      </c>
      <c r="G419" s="0" t="s">
        <v>1964</v>
      </c>
      <c r="H419" s="0" t="s">
        <v>725</v>
      </c>
      <c r="I419" s="0" t="s">
        <v>1965</v>
      </c>
      <c r="J419" s="4" t="n">
        <v>45712</v>
      </c>
      <c r="K419" s="0" t="s">
        <v>526</v>
      </c>
      <c r="L419" s="0" t="s">
        <v>82</v>
      </c>
      <c r="M419" s="5" t="n">
        <v>1199</v>
      </c>
      <c r="N419" s="0" t="n">
        <v>2</v>
      </c>
      <c r="O419" s="0" t="s">
        <v>101</v>
      </c>
      <c r="P419" s="0" t="n">
        <v>3</v>
      </c>
      <c r="Q419" s="5" t="n">
        <v>75</v>
      </c>
      <c r="R419" s="4" t="n">
        <v>45719</v>
      </c>
      <c r="S419" s="0" t="s">
        <v>526</v>
      </c>
      <c r="T419" s="0" t="n">
        <f aca="false">R419-J419</f>
        <v>7</v>
      </c>
      <c r="U419" s="5" t="n">
        <f aca="false">M419*N419</f>
        <v>2398</v>
      </c>
      <c r="V419" s="6" t="n">
        <f aca="false">IF(O419="FLAT5",5%,IF(O419="FLAT10",10%,IF(O419="FLAT15",15%,IF(O419="FLAT20",20%,0))))</f>
        <v>0.15</v>
      </c>
      <c r="W419" s="5" t="n">
        <f aca="false">U419*(1-V419)</f>
        <v>2038.3</v>
      </c>
      <c r="X419" s="5" t="n">
        <f aca="false">W419+IF(O419="DEL0",0,Q419)</f>
        <v>2113.3</v>
      </c>
      <c r="Y419" s="0" t="str">
        <f aca="false">B419&amp;" "&amp;C419</f>
        <v>Diya Verma</v>
      </c>
      <c r="Z419" s="0" t="str">
        <f aca="false">IF(T419&lt;P419,"BeforeTime",IF(T419=P419,"Intime","Late"))</f>
        <v>Late</v>
      </c>
      <c r="AA419" s="0" t="str">
        <f aca="false">TEXT(J419,"mmm")</f>
        <v>Feb</v>
      </c>
      <c r="AB419" s="0" t="e">
        <f aca="false">xlookup(L419,Products!A:A,Products!B:B,"")</f>
        <v>#NAME?</v>
      </c>
    </row>
    <row r="420" customFormat="false" ht="15" hidden="false" customHeight="false" outlineLevel="0" collapsed="false">
      <c r="A420" s="0" t="s">
        <v>1176</v>
      </c>
      <c r="B420" s="0" t="s">
        <v>394</v>
      </c>
      <c r="C420" s="0" t="s">
        <v>261</v>
      </c>
      <c r="D420" s="0" t="n">
        <v>53</v>
      </c>
      <c r="E420" s="0" t="s">
        <v>36</v>
      </c>
      <c r="F420" s="0" t="s">
        <v>248</v>
      </c>
      <c r="G420" s="0" t="s">
        <v>1966</v>
      </c>
      <c r="H420" s="0" t="s">
        <v>1967</v>
      </c>
      <c r="I420" s="0" t="s">
        <v>1968</v>
      </c>
      <c r="J420" s="4" t="n">
        <v>45678</v>
      </c>
      <c r="K420" s="0" t="s">
        <v>453</v>
      </c>
      <c r="L420" s="0" t="s">
        <v>391</v>
      </c>
      <c r="M420" s="5" t="n">
        <v>3499</v>
      </c>
      <c r="N420" s="0" t="n">
        <v>3</v>
      </c>
      <c r="O420" s="0" t="s">
        <v>101</v>
      </c>
      <c r="P420" s="0" t="n">
        <v>2</v>
      </c>
      <c r="Q420" s="5" t="n">
        <v>40</v>
      </c>
      <c r="R420" s="4" t="n">
        <v>45680</v>
      </c>
      <c r="S420" s="0" t="s">
        <v>601</v>
      </c>
      <c r="T420" s="0" t="n">
        <f aca="false">R420-J420</f>
        <v>2</v>
      </c>
      <c r="U420" s="5" t="n">
        <f aca="false">M420*N420</f>
        <v>10497</v>
      </c>
      <c r="V420" s="6" t="n">
        <f aca="false">IF(O420="FLAT5",5%,IF(O420="FLAT10",10%,IF(O420="FLAT15",15%,IF(O420="FLAT20",20%,0))))</f>
        <v>0.15</v>
      </c>
      <c r="W420" s="5" t="n">
        <f aca="false">U420*(1-V420)</f>
        <v>8922.45</v>
      </c>
      <c r="X420" s="5" t="n">
        <f aca="false">W420+IF(O420="DEL0",0,Q420)</f>
        <v>8962.45</v>
      </c>
      <c r="Y420" s="0" t="str">
        <f aca="false">B420&amp;" "&amp;C420</f>
        <v>Kiran Kumar</v>
      </c>
      <c r="Z420" s="0" t="str">
        <f aca="false">IF(T420&lt;P420,"BeforeTime",IF(T420=P420,"Intime","Late"))</f>
        <v>Intime</v>
      </c>
      <c r="AA420" s="0" t="str">
        <f aca="false">TEXT(J420,"mmm")</f>
        <v>Jan</v>
      </c>
      <c r="AB420" s="0" t="e">
        <f aca="false">xlookup(L420,Products!A:A,Products!B:B,"")</f>
        <v>#NAME?</v>
      </c>
    </row>
    <row r="421" customFormat="false" ht="15" hidden="false" customHeight="false" outlineLevel="0" collapsed="false">
      <c r="A421" s="0" t="s">
        <v>422</v>
      </c>
      <c r="B421" s="0" t="s">
        <v>394</v>
      </c>
      <c r="C421" s="0" t="s">
        <v>123</v>
      </c>
      <c r="D421" s="0" t="n">
        <v>55</v>
      </c>
      <c r="E421" s="0" t="s">
        <v>48</v>
      </c>
      <c r="F421" s="0" t="s">
        <v>114</v>
      </c>
      <c r="G421" s="0" t="s">
        <v>1969</v>
      </c>
      <c r="H421" s="0" t="s">
        <v>1970</v>
      </c>
      <c r="I421" s="0" t="s">
        <v>1971</v>
      </c>
      <c r="J421" s="4" t="n">
        <v>45901</v>
      </c>
      <c r="K421" s="0" t="s">
        <v>1257</v>
      </c>
      <c r="L421" s="0" t="s">
        <v>136</v>
      </c>
      <c r="M421" s="5" t="n">
        <v>1799</v>
      </c>
      <c r="N421" s="0" t="n">
        <v>2</v>
      </c>
      <c r="O421" s="0" t="s">
        <v>54</v>
      </c>
      <c r="P421" s="0" t="n">
        <v>7</v>
      </c>
      <c r="Q421" s="5" t="n">
        <v>0</v>
      </c>
      <c r="R421" s="4" t="n">
        <v>45908</v>
      </c>
      <c r="S421" s="0" t="s">
        <v>988</v>
      </c>
      <c r="T421" s="0" t="n">
        <f aca="false">R421-J421</f>
        <v>7</v>
      </c>
      <c r="U421" s="5" t="n">
        <f aca="false">M421*N421</f>
        <v>3598</v>
      </c>
      <c r="V421" s="6" t="n">
        <f aca="false">IF(O421="FLAT5",5%,IF(O421="FLAT10",10%,IF(O421="FLAT15",15%,IF(O421="FLAT20",20%,0))))</f>
        <v>0</v>
      </c>
      <c r="W421" s="5" t="n">
        <f aca="false">U421*(1-V421)</f>
        <v>3598</v>
      </c>
      <c r="X421" s="5" t="n">
        <f aca="false">W421+IF(O421="DEL0",0,Q421)</f>
        <v>3598</v>
      </c>
      <c r="Y421" s="0" t="str">
        <f aca="false">B421&amp;" "&amp;C421</f>
        <v>Kiran Nair</v>
      </c>
      <c r="Z421" s="0" t="str">
        <f aca="false">IF(T421&lt;P421,"BeforeTime",IF(T421=P421,"Intime","Late"))</f>
        <v>Intime</v>
      </c>
      <c r="AA421" s="0" t="str">
        <f aca="false">TEXT(J421,"mmm")</f>
        <v>Sep</v>
      </c>
      <c r="AB421" s="0" t="e">
        <f aca="false">xlookup(L421,Products!A:A,Products!B:B,"")</f>
        <v>#NAME?</v>
      </c>
    </row>
    <row r="422" customFormat="false" ht="15" hidden="false" customHeight="false" outlineLevel="0" collapsed="false">
      <c r="A422" s="0" t="s">
        <v>1972</v>
      </c>
      <c r="B422" s="0" t="s">
        <v>269</v>
      </c>
      <c r="C422" s="0" t="s">
        <v>76</v>
      </c>
      <c r="D422" s="0" t="n">
        <v>27</v>
      </c>
      <c r="E422" s="0" t="s">
        <v>36</v>
      </c>
      <c r="F422" s="0" t="s">
        <v>160</v>
      </c>
      <c r="G422" s="0" t="s">
        <v>1973</v>
      </c>
      <c r="H422" s="0" t="s">
        <v>1974</v>
      </c>
      <c r="I422" s="0" t="s">
        <v>1975</v>
      </c>
      <c r="J422" s="4" t="n">
        <v>45744</v>
      </c>
      <c r="K422" s="0" t="s">
        <v>1976</v>
      </c>
      <c r="L422" s="0" t="s">
        <v>136</v>
      </c>
      <c r="M422" s="5" t="n">
        <v>1799</v>
      </c>
      <c r="N422" s="0" t="n">
        <v>1</v>
      </c>
      <c r="O422" s="0" t="s">
        <v>54</v>
      </c>
      <c r="P422" s="0" t="n">
        <v>2</v>
      </c>
      <c r="Q422" s="5" t="n">
        <v>0</v>
      </c>
      <c r="R422" s="4" t="n">
        <v>45746</v>
      </c>
      <c r="S422" s="0" t="s">
        <v>1175</v>
      </c>
      <c r="T422" s="0" t="n">
        <f aca="false">R422-J422</f>
        <v>2</v>
      </c>
      <c r="U422" s="5" t="n">
        <f aca="false">M422*N422</f>
        <v>1799</v>
      </c>
      <c r="V422" s="6" t="n">
        <f aca="false">IF(O422="FLAT5",5%,IF(O422="FLAT10",10%,IF(O422="FLAT15",15%,IF(O422="FLAT20",20%,0))))</f>
        <v>0</v>
      </c>
      <c r="W422" s="5" t="n">
        <f aca="false">U422*(1-V422)</f>
        <v>1799</v>
      </c>
      <c r="X422" s="5" t="n">
        <f aca="false">W422+IF(O422="DEL0",0,Q422)</f>
        <v>1799</v>
      </c>
      <c r="Y422" s="0" t="str">
        <f aca="false">B422&amp;" "&amp;C422</f>
        <v>Varun Patel</v>
      </c>
      <c r="Z422" s="0" t="str">
        <f aca="false">IF(T422&lt;P422,"BeforeTime",IF(T422=P422,"Intime","Late"))</f>
        <v>Intime</v>
      </c>
      <c r="AA422" s="0" t="str">
        <f aca="false">TEXT(J422,"mmm")</f>
        <v>Mar</v>
      </c>
      <c r="AB422" s="0" t="e">
        <f aca="false">xlookup(L422,Products!A:A,Products!B:B,"")</f>
        <v>#NAME?</v>
      </c>
    </row>
    <row r="423" customFormat="false" ht="15" hidden="false" customHeight="false" outlineLevel="0" collapsed="false">
      <c r="A423" s="0" t="s">
        <v>208</v>
      </c>
      <c r="B423" s="0" t="s">
        <v>405</v>
      </c>
      <c r="C423" s="0" t="s">
        <v>95</v>
      </c>
      <c r="D423" s="0" t="n">
        <v>51</v>
      </c>
      <c r="E423" s="0" t="s">
        <v>48</v>
      </c>
      <c r="F423" s="0" t="s">
        <v>124</v>
      </c>
      <c r="G423" s="0" t="s">
        <v>1977</v>
      </c>
      <c r="H423" s="0" t="s">
        <v>1978</v>
      </c>
      <c r="I423" s="0" t="s">
        <v>1979</v>
      </c>
      <c r="J423" s="4" t="n">
        <v>45987</v>
      </c>
      <c r="K423" s="0" t="s">
        <v>1393</v>
      </c>
      <c r="L423" s="0" t="s">
        <v>64</v>
      </c>
      <c r="M423" s="5" t="n">
        <v>2799</v>
      </c>
      <c r="N423" s="0" t="n">
        <v>3</v>
      </c>
      <c r="O423" s="0" t="s">
        <v>54</v>
      </c>
      <c r="P423" s="0" t="n">
        <v>5</v>
      </c>
      <c r="Q423" s="5" t="n">
        <v>0</v>
      </c>
      <c r="R423" s="4" t="n">
        <v>45992</v>
      </c>
      <c r="S423" s="0" t="s">
        <v>1325</v>
      </c>
      <c r="T423" s="0" t="n">
        <f aca="false">R423-J423</f>
        <v>5</v>
      </c>
      <c r="U423" s="5" t="n">
        <f aca="false">M423*N423</f>
        <v>8397</v>
      </c>
      <c r="V423" s="6" t="n">
        <f aca="false">IF(O423="FLAT5",5%,IF(O423="FLAT10",10%,IF(O423="FLAT15",15%,IF(O423="FLAT20",20%,0))))</f>
        <v>0</v>
      </c>
      <c r="W423" s="5" t="n">
        <f aca="false">U423*(1-V423)</f>
        <v>8397</v>
      </c>
      <c r="X423" s="5" t="n">
        <f aca="false">W423+IF(O423="DEL0",0,Q423)</f>
        <v>8397</v>
      </c>
      <c r="Y423" s="0" t="str">
        <f aca="false">B423&amp;" "&amp;C423</f>
        <v>Sneha Mishra</v>
      </c>
      <c r="Z423" s="0" t="str">
        <f aca="false">IF(T423&lt;P423,"BeforeTime",IF(T423=P423,"Intime","Late"))</f>
        <v>Intime</v>
      </c>
      <c r="AA423" s="0" t="str">
        <f aca="false">TEXT(J423,"mmm")</f>
        <v>Nov</v>
      </c>
      <c r="AB423" s="0" t="e">
        <f aca="false">xlookup(L423,Products!A:A,Products!B:B,"")</f>
        <v>#NAME?</v>
      </c>
    </row>
    <row r="424" customFormat="false" ht="15" hidden="false" customHeight="false" outlineLevel="0" collapsed="false">
      <c r="A424" s="0" t="s">
        <v>1649</v>
      </c>
      <c r="B424" s="0" t="s">
        <v>394</v>
      </c>
      <c r="C424" s="0" t="s">
        <v>261</v>
      </c>
      <c r="D424" s="0" t="n">
        <v>27</v>
      </c>
      <c r="E424" s="0" t="s">
        <v>48</v>
      </c>
      <c r="F424" s="0" t="s">
        <v>248</v>
      </c>
      <c r="G424" s="0" t="s">
        <v>1980</v>
      </c>
      <c r="H424" s="0" t="s">
        <v>277</v>
      </c>
      <c r="I424" s="0" t="s">
        <v>1981</v>
      </c>
      <c r="J424" s="4" t="n">
        <v>45726</v>
      </c>
      <c r="K424" s="0" t="s">
        <v>44</v>
      </c>
      <c r="L424" s="0" t="s">
        <v>53</v>
      </c>
      <c r="M424" s="5" t="n">
        <v>2499</v>
      </c>
      <c r="N424" s="0" t="n">
        <v>2</v>
      </c>
      <c r="O424" s="0" t="s">
        <v>43</v>
      </c>
      <c r="P424" s="0" t="n">
        <v>2</v>
      </c>
      <c r="Q424" s="5" t="n">
        <v>40</v>
      </c>
      <c r="R424" s="4" t="n">
        <v>45727</v>
      </c>
      <c r="S424" s="0" t="s">
        <v>1580</v>
      </c>
      <c r="T424" s="0" t="n">
        <f aca="false">R424-J424</f>
        <v>1</v>
      </c>
      <c r="U424" s="5" t="n">
        <f aca="false">M424*N424</f>
        <v>4998</v>
      </c>
      <c r="V424" s="6" t="n">
        <f aca="false">IF(O424="FLAT5",5%,IF(O424="FLAT10",10%,IF(O424="FLAT15",15%,IF(O424="FLAT20",20%,0))))</f>
        <v>0.2</v>
      </c>
      <c r="W424" s="5" t="n">
        <f aca="false">U424*(1-V424)</f>
        <v>3998.4</v>
      </c>
      <c r="X424" s="5" t="n">
        <f aca="false">W424+IF(O424="DEL0",0,Q424)</f>
        <v>4038.4</v>
      </c>
      <c r="Y424" s="0" t="str">
        <f aca="false">B424&amp;" "&amp;C424</f>
        <v>Kiran Kumar</v>
      </c>
      <c r="Z424" s="0" t="str">
        <f aca="false">IF(T424&lt;P424,"BeforeTime",IF(T424=P424,"Intime","Late"))</f>
        <v>BeforeTime</v>
      </c>
      <c r="AA424" s="0" t="str">
        <f aca="false">TEXT(J424,"mmm")</f>
        <v>Mar</v>
      </c>
      <c r="AB424" s="0" t="e">
        <f aca="false">xlookup(L424,Products!A:A,Products!B:B,"")</f>
        <v>#NAME?</v>
      </c>
    </row>
    <row r="425" customFormat="false" ht="15" hidden="false" customHeight="false" outlineLevel="0" collapsed="false">
      <c r="A425" s="0" t="s">
        <v>300</v>
      </c>
      <c r="B425" s="0" t="s">
        <v>104</v>
      </c>
      <c r="C425" s="0" t="s">
        <v>229</v>
      </c>
      <c r="D425" s="0" t="n">
        <v>29</v>
      </c>
      <c r="E425" s="0" t="s">
        <v>48</v>
      </c>
      <c r="F425" s="0" t="s">
        <v>124</v>
      </c>
      <c r="G425" s="0" t="s">
        <v>1982</v>
      </c>
      <c r="H425" s="0" t="s">
        <v>107</v>
      </c>
      <c r="I425" s="0" t="s">
        <v>1983</v>
      </c>
      <c r="J425" s="4" t="n">
        <v>45996</v>
      </c>
      <c r="K425" s="0" t="s">
        <v>1393</v>
      </c>
      <c r="L425" s="0" t="s">
        <v>64</v>
      </c>
      <c r="M425" s="5" t="n">
        <v>2799</v>
      </c>
      <c r="N425" s="0" t="n">
        <v>1</v>
      </c>
      <c r="O425" s="0" t="s">
        <v>54</v>
      </c>
      <c r="P425" s="0" t="n">
        <v>6</v>
      </c>
      <c r="Q425" s="5" t="n">
        <v>0</v>
      </c>
      <c r="R425" s="4" t="n">
        <v>46006</v>
      </c>
      <c r="S425" s="0" t="s">
        <v>1716</v>
      </c>
      <c r="T425" s="0" t="n">
        <f aca="false">R425-J425</f>
        <v>10</v>
      </c>
      <c r="U425" s="5" t="n">
        <f aca="false">M425*N425</f>
        <v>2799</v>
      </c>
      <c r="V425" s="6" t="n">
        <f aca="false">IF(O425="FLAT5",5%,IF(O425="FLAT10",10%,IF(O425="FLAT15",15%,IF(O425="FLAT20",20%,0))))</f>
        <v>0</v>
      </c>
      <c r="W425" s="5" t="n">
        <f aca="false">U425*(1-V425)</f>
        <v>2799</v>
      </c>
      <c r="X425" s="5" t="n">
        <f aca="false">W425+IF(O425="DEL0",0,Q425)</f>
        <v>2799</v>
      </c>
      <c r="Y425" s="0" t="str">
        <f aca="false">B425&amp;" "&amp;C425</f>
        <v>Keerthi Joshi</v>
      </c>
      <c r="Z425" s="0" t="str">
        <f aca="false">IF(T425&lt;P425,"BeforeTime",IF(T425=P425,"Intime","Late"))</f>
        <v>Late</v>
      </c>
      <c r="AA425" s="0" t="str">
        <f aca="false">TEXT(J425,"mmm")</f>
        <v>Dec</v>
      </c>
      <c r="AB425" s="0" t="e">
        <f aca="false">xlookup(L425,Products!A:A,Products!B:B,"")</f>
        <v>#NAME?</v>
      </c>
    </row>
    <row r="426" customFormat="false" ht="15" hidden="false" customHeight="false" outlineLevel="0" collapsed="false">
      <c r="A426" s="0" t="s">
        <v>1984</v>
      </c>
      <c r="B426" s="0" t="s">
        <v>86</v>
      </c>
      <c r="C426" s="0" t="s">
        <v>35</v>
      </c>
      <c r="D426" s="0" t="n">
        <v>22</v>
      </c>
      <c r="E426" s="0" t="s">
        <v>48</v>
      </c>
      <c r="F426" s="0" t="s">
        <v>140</v>
      </c>
      <c r="G426" s="0" t="s">
        <v>1985</v>
      </c>
      <c r="H426" s="0" t="s">
        <v>1986</v>
      </c>
      <c r="I426" s="0" t="s">
        <v>1987</v>
      </c>
      <c r="J426" s="4" t="n">
        <v>45850</v>
      </c>
      <c r="K426" s="0" t="s">
        <v>1988</v>
      </c>
      <c r="L426" s="0" t="s">
        <v>136</v>
      </c>
      <c r="M426" s="5" t="n">
        <v>1799</v>
      </c>
      <c r="N426" s="0" t="n">
        <v>4</v>
      </c>
      <c r="O426" s="0" t="s">
        <v>91</v>
      </c>
      <c r="P426" s="0" t="n">
        <v>5</v>
      </c>
      <c r="Q426" s="5" t="n">
        <v>40</v>
      </c>
      <c r="R426" s="4" t="n">
        <v>45855</v>
      </c>
      <c r="S426" s="0" t="s">
        <v>1989</v>
      </c>
      <c r="T426" s="0" t="n">
        <f aca="false">R426-J426</f>
        <v>5</v>
      </c>
      <c r="U426" s="5" t="n">
        <f aca="false">M426*N426</f>
        <v>7196</v>
      </c>
      <c r="V426" s="6" t="n">
        <f aca="false">IF(O426="FLAT5",5%,IF(O426="FLAT10",10%,IF(O426="FLAT15",15%,IF(O426="FLAT20",20%,0))))</f>
        <v>0.1</v>
      </c>
      <c r="W426" s="5" t="n">
        <f aca="false">U426*(1-V426)</f>
        <v>6476.4</v>
      </c>
      <c r="X426" s="5" t="n">
        <f aca="false">W426+IF(O426="DEL0",0,Q426)</f>
        <v>6516.4</v>
      </c>
      <c r="Y426" s="0" t="str">
        <f aca="false">B426&amp;" "&amp;C426</f>
        <v>Rahul Sharma</v>
      </c>
      <c r="Z426" s="0" t="str">
        <f aca="false">IF(T426&lt;P426,"BeforeTime",IF(T426=P426,"Intime","Late"))</f>
        <v>Intime</v>
      </c>
      <c r="AA426" s="0" t="str">
        <f aca="false">TEXT(J426,"mmm")</f>
        <v>Jul</v>
      </c>
      <c r="AB426" s="0" t="e">
        <f aca="false">xlookup(L426,Products!A:A,Products!B:B,"")</f>
        <v>#NAME?</v>
      </c>
    </row>
    <row r="427" customFormat="false" ht="15" hidden="false" customHeight="false" outlineLevel="0" collapsed="false">
      <c r="A427" s="0" t="s">
        <v>749</v>
      </c>
      <c r="B427" s="0" t="s">
        <v>209</v>
      </c>
      <c r="C427" s="0" t="s">
        <v>368</v>
      </c>
      <c r="D427" s="0" t="n">
        <v>44</v>
      </c>
      <c r="E427" s="0" t="s">
        <v>48</v>
      </c>
      <c r="F427" s="0" t="s">
        <v>140</v>
      </c>
      <c r="G427" s="0" t="s">
        <v>1990</v>
      </c>
      <c r="H427" s="0" t="s">
        <v>1991</v>
      </c>
      <c r="I427" s="0" t="s">
        <v>1992</v>
      </c>
      <c r="J427" s="4" t="n">
        <v>46008</v>
      </c>
      <c r="K427" s="0" t="s">
        <v>151</v>
      </c>
      <c r="L427" s="0" t="s">
        <v>64</v>
      </c>
      <c r="M427" s="5" t="n">
        <v>2799</v>
      </c>
      <c r="N427" s="0" t="n">
        <v>4</v>
      </c>
      <c r="O427" s="0" t="s">
        <v>43</v>
      </c>
      <c r="P427" s="0" t="n">
        <v>6</v>
      </c>
      <c r="Q427" s="5" t="n">
        <v>75</v>
      </c>
      <c r="R427" s="4" t="n">
        <v>46014</v>
      </c>
      <c r="S427" s="0" t="s">
        <v>1195</v>
      </c>
      <c r="T427" s="0" t="n">
        <f aca="false">R427-J427</f>
        <v>6</v>
      </c>
      <c r="U427" s="5" t="n">
        <f aca="false">M427*N427</f>
        <v>11196</v>
      </c>
      <c r="V427" s="6" t="n">
        <f aca="false">IF(O427="FLAT5",5%,IF(O427="FLAT10",10%,IF(O427="FLAT15",15%,IF(O427="FLAT20",20%,0))))</f>
        <v>0.2</v>
      </c>
      <c r="W427" s="5" t="n">
        <f aca="false">U427*(1-V427)</f>
        <v>8956.8</v>
      </c>
      <c r="X427" s="5" t="n">
        <f aca="false">W427+IF(O427="DEL0",0,Q427)</f>
        <v>9031.8</v>
      </c>
      <c r="Y427" s="0" t="str">
        <f aca="false">B427&amp;" "&amp;C427</f>
        <v>Ishaan Das</v>
      </c>
      <c r="Z427" s="0" t="str">
        <f aca="false">IF(T427&lt;P427,"BeforeTime",IF(T427=P427,"Intime","Late"))</f>
        <v>Intime</v>
      </c>
      <c r="AA427" s="0" t="str">
        <f aca="false">TEXT(J427,"mmm")</f>
        <v>Dec</v>
      </c>
      <c r="AB427" s="0" t="e">
        <f aca="false">xlookup(L427,Products!A:A,Products!B:B,"")</f>
        <v>#NAME?</v>
      </c>
    </row>
    <row r="428" customFormat="false" ht="15" hidden="false" customHeight="false" outlineLevel="0" collapsed="false">
      <c r="A428" s="0" t="s">
        <v>1993</v>
      </c>
      <c r="B428" s="0" t="s">
        <v>94</v>
      </c>
      <c r="C428" s="0" t="s">
        <v>58</v>
      </c>
      <c r="D428" s="0" t="n">
        <v>42</v>
      </c>
      <c r="E428" s="0" t="s">
        <v>48</v>
      </c>
      <c r="F428" s="0" t="s">
        <v>59</v>
      </c>
      <c r="G428" s="0" t="s">
        <v>1994</v>
      </c>
      <c r="H428" s="0" t="s">
        <v>1605</v>
      </c>
      <c r="I428" s="0" t="s">
        <v>1995</v>
      </c>
      <c r="J428" s="4" t="n">
        <v>45723</v>
      </c>
      <c r="K428" s="0" t="s">
        <v>55</v>
      </c>
      <c r="L428" s="0" t="s">
        <v>110</v>
      </c>
      <c r="M428" s="5" t="n">
        <v>1499</v>
      </c>
      <c r="N428" s="0" t="n">
        <v>1</v>
      </c>
      <c r="O428" s="0" t="s">
        <v>43</v>
      </c>
      <c r="P428" s="0" t="n">
        <v>4</v>
      </c>
      <c r="Q428" s="5" t="n">
        <v>120</v>
      </c>
      <c r="R428" s="4" t="n">
        <v>45727</v>
      </c>
      <c r="S428" s="0" t="s">
        <v>1383</v>
      </c>
      <c r="T428" s="0" t="n">
        <f aca="false">R428-J428</f>
        <v>4</v>
      </c>
      <c r="U428" s="5" t="n">
        <f aca="false">M428*N428</f>
        <v>1499</v>
      </c>
      <c r="V428" s="6" t="n">
        <f aca="false">IF(O428="FLAT5",5%,IF(O428="FLAT10",10%,IF(O428="FLAT15",15%,IF(O428="FLAT20",20%,0))))</f>
        <v>0.2</v>
      </c>
      <c r="W428" s="5" t="n">
        <f aca="false">U428*(1-V428)</f>
        <v>1199.2</v>
      </c>
      <c r="X428" s="5" t="n">
        <f aca="false">W428+IF(O428="DEL0",0,Q428)</f>
        <v>1319.2</v>
      </c>
      <c r="Y428" s="0" t="str">
        <f aca="false">B428&amp;" "&amp;C428</f>
        <v>Manoj Iyer</v>
      </c>
      <c r="Z428" s="0" t="str">
        <f aca="false">IF(T428&lt;P428,"BeforeTime",IF(T428=P428,"Intime","Late"))</f>
        <v>Intime</v>
      </c>
      <c r="AA428" s="0" t="str">
        <f aca="false">TEXT(J428,"mmm")</f>
        <v>Mar</v>
      </c>
      <c r="AB428" s="0" t="e">
        <f aca="false">xlookup(L428,Products!A:A,Products!B:B,"")</f>
        <v>#NAME?</v>
      </c>
    </row>
    <row r="429" customFormat="false" ht="15" hidden="false" customHeight="false" outlineLevel="0" collapsed="false">
      <c r="A429" s="0" t="s">
        <v>929</v>
      </c>
      <c r="B429" s="0" t="s">
        <v>67</v>
      </c>
      <c r="C429" s="0" t="s">
        <v>95</v>
      </c>
      <c r="D429" s="0" t="n">
        <v>42</v>
      </c>
      <c r="E429" s="0" t="s">
        <v>36</v>
      </c>
      <c r="F429" s="0" t="s">
        <v>37</v>
      </c>
      <c r="G429" s="0" t="s">
        <v>1996</v>
      </c>
      <c r="H429" s="0" t="s">
        <v>1974</v>
      </c>
      <c r="I429" s="0" t="s">
        <v>1997</v>
      </c>
      <c r="J429" s="4" t="n">
        <v>45961</v>
      </c>
      <c r="K429" s="0" t="s">
        <v>1998</v>
      </c>
      <c r="L429" s="0" t="s">
        <v>100</v>
      </c>
      <c r="M429" s="5" t="n">
        <v>999</v>
      </c>
      <c r="N429" s="0" t="n">
        <v>2</v>
      </c>
      <c r="O429" s="0" t="s">
        <v>43</v>
      </c>
      <c r="P429" s="0" t="n">
        <v>2</v>
      </c>
      <c r="Q429" s="5" t="n">
        <v>60</v>
      </c>
      <c r="R429" s="4" t="n">
        <v>45964</v>
      </c>
      <c r="S429" s="0" t="s">
        <v>1999</v>
      </c>
      <c r="T429" s="0" t="n">
        <f aca="false">R429-J429</f>
        <v>3</v>
      </c>
      <c r="U429" s="5" t="n">
        <f aca="false">M429*N429</f>
        <v>1998</v>
      </c>
      <c r="V429" s="6" t="n">
        <f aca="false">IF(O429="FLAT5",5%,IF(O429="FLAT10",10%,IF(O429="FLAT15",15%,IF(O429="FLAT20",20%,0))))</f>
        <v>0.2</v>
      </c>
      <c r="W429" s="5" t="n">
        <f aca="false">U429*(1-V429)</f>
        <v>1598.4</v>
      </c>
      <c r="X429" s="5" t="n">
        <f aca="false">W429+IF(O429="DEL0",0,Q429)</f>
        <v>1658.4</v>
      </c>
      <c r="Y429" s="0" t="str">
        <f aca="false">B429&amp;" "&amp;C429</f>
        <v>Priya Mishra</v>
      </c>
      <c r="Z429" s="0" t="str">
        <f aca="false">IF(T429&lt;P429,"BeforeTime",IF(T429=P429,"Intime","Late"))</f>
        <v>Late</v>
      </c>
      <c r="AA429" s="0" t="str">
        <f aca="false">TEXT(J429,"mmm")</f>
        <v>Oct</v>
      </c>
      <c r="AB429" s="0" t="e">
        <f aca="false">xlookup(L429,Products!A:A,Products!B:B,"")</f>
        <v>#NAME?</v>
      </c>
    </row>
    <row r="430" customFormat="false" ht="15" hidden="false" customHeight="false" outlineLevel="0" collapsed="false">
      <c r="A430" s="0" t="s">
        <v>1163</v>
      </c>
      <c r="B430" s="0" t="s">
        <v>394</v>
      </c>
      <c r="C430" s="0" t="s">
        <v>95</v>
      </c>
      <c r="D430" s="0" t="n">
        <v>56</v>
      </c>
      <c r="E430" s="0" t="s">
        <v>48</v>
      </c>
      <c r="F430" s="0" t="s">
        <v>114</v>
      </c>
      <c r="G430" s="0" t="s">
        <v>2000</v>
      </c>
      <c r="H430" s="0" t="s">
        <v>758</v>
      </c>
      <c r="I430" s="0" t="s">
        <v>2001</v>
      </c>
      <c r="J430" s="4" t="n">
        <v>45820</v>
      </c>
      <c r="K430" s="0" t="s">
        <v>1870</v>
      </c>
      <c r="L430" s="0" t="s">
        <v>110</v>
      </c>
      <c r="M430" s="5" t="n">
        <v>1499</v>
      </c>
      <c r="N430" s="0" t="n">
        <v>4</v>
      </c>
      <c r="O430" s="0" t="s">
        <v>43</v>
      </c>
      <c r="P430" s="0" t="n">
        <v>5</v>
      </c>
      <c r="Q430" s="5" t="n">
        <v>60</v>
      </c>
      <c r="R430" s="4" t="n">
        <v>45825</v>
      </c>
      <c r="S430" s="0" t="s">
        <v>1685</v>
      </c>
      <c r="T430" s="0" t="n">
        <f aca="false">R430-J430</f>
        <v>5</v>
      </c>
      <c r="U430" s="5" t="n">
        <f aca="false">M430*N430</f>
        <v>5996</v>
      </c>
      <c r="V430" s="6" t="n">
        <f aca="false">IF(O430="FLAT5",5%,IF(O430="FLAT10",10%,IF(O430="FLAT15",15%,IF(O430="FLAT20",20%,0))))</f>
        <v>0.2</v>
      </c>
      <c r="W430" s="5" t="n">
        <f aca="false">U430*(1-V430)</f>
        <v>4796.8</v>
      </c>
      <c r="X430" s="5" t="n">
        <f aca="false">W430+IF(O430="DEL0",0,Q430)</f>
        <v>4856.8</v>
      </c>
      <c r="Y430" s="0" t="str">
        <f aca="false">B430&amp;" "&amp;C430</f>
        <v>Kiran Mishra</v>
      </c>
      <c r="Z430" s="0" t="str">
        <f aca="false">IF(T430&lt;P430,"BeforeTime",IF(T430=P430,"Intime","Late"))</f>
        <v>Intime</v>
      </c>
      <c r="AA430" s="0" t="str">
        <f aca="false">TEXT(J430,"mmm")</f>
        <v>Jun</v>
      </c>
      <c r="AB430" s="0" t="e">
        <f aca="false">xlookup(L430,Products!A:A,Products!B:B,"")</f>
        <v>#NAME?</v>
      </c>
    </row>
    <row r="431" customFormat="false" ht="15" hidden="false" customHeight="false" outlineLevel="0" collapsed="false">
      <c r="A431" s="0" t="s">
        <v>1219</v>
      </c>
      <c r="B431" s="0" t="s">
        <v>86</v>
      </c>
      <c r="C431" s="0" t="s">
        <v>167</v>
      </c>
      <c r="D431" s="0" t="n">
        <v>52</v>
      </c>
      <c r="E431" s="0" t="s">
        <v>48</v>
      </c>
      <c r="F431" s="0" t="s">
        <v>262</v>
      </c>
      <c r="G431" s="0" t="s">
        <v>2002</v>
      </c>
      <c r="H431" s="0" t="s">
        <v>954</v>
      </c>
      <c r="I431" s="0" t="s">
        <v>2003</v>
      </c>
      <c r="J431" s="4" t="n">
        <v>45881</v>
      </c>
      <c r="K431" s="0" t="s">
        <v>918</v>
      </c>
      <c r="L431" s="0" t="s">
        <v>64</v>
      </c>
      <c r="M431" s="5" t="n">
        <v>2799</v>
      </c>
      <c r="N431" s="0" t="n">
        <v>3</v>
      </c>
      <c r="O431" s="0" t="s">
        <v>91</v>
      </c>
      <c r="P431" s="0" t="n">
        <v>3</v>
      </c>
      <c r="Q431" s="5" t="n">
        <v>40</v>
      </c>
      <c r="R431" s="4" t="n">
        <v>45884</v>
      </c>
      <c r="S431" s="0" t="s">
        <v>1033</v>
      </c>
      <c r="T431" s="0" t="n">
        <f aca="false">R431-J431</f>
        <v>3</v>
      </c>
      <c r="U431" s="5" t="n">
        <f aca="false">M431*N431</f>
        <v>8397</v>
      </c>
      <c r="V431" s="6" t="n">
        <f aca="false">IF(O431="FLAT5",5%,IF(O431="FLAT10",10%,IF(O431="FLAT15",15%,IF(O431="FLAT20",20%,0))))</f>
        <v>0.1</v>
      </c>
      <c r="W431" s="5" t="n">
        <f aca="false">U431*(1-V431)</f>
        <v>7557.3</v>
      </c>
      <c r="X431" s="5" t="n">
        <f aca="false">W431+IF(O431="DEL0",0,Q431)</f>
        <v>7597.3</v>
      </c>
      <c r="Y431" s="0" t="str">
        <f aca="false">B431&amp;" "&amp;C431</f>
        <v>Rahul Chowdhury</v>
      </c>
      <c r="Z431" s="0" t="str">
        <f aca="false">IF(T431&lt;P431,"BeforeTime",IF(T431=P431,"Intime","Late"))</f>
        <v>Intime</v>
      </c>
      <c r="AA431" s="0" t="str">
        <f aca="false">TEXT(J431,"mmm")</f>
        <v>Aug</v>
      </c>
      <c r="AB431" s="0" t="e">
        <f aca="false">xlookup(L431,Products!A:A,Products!B:B,"")</f>
        <v>#NAME?</v>
      </c>
    </row>
    <row r="432" customFormat="false" ht="15" hidden="false" customHeight="false" outlineLevel="0" collapsed="false">
      <c r="A432" s="0" t="s">
        <v>310</v>
      </c>
      <c r="B432" s="0" t="s">
        <v>94</v>
      </c>
      <c r="C432" s="0" t="s">
        <v>58</v>
      </c>
      <c r="D432" s="0" t="n">
        <v>34</v>
      </c>
      <c r="E432" s="0" t="s">
        <v>36</v>
      </c>
      <c r="F432" s="0" t="s">
        <v>124</v>
      </c>
      <c r="G432" s="0" t="s">
        <v>2004</v>
      </c>
      <c r="H432" s="0" t="s">
        <v>2005</v>
      </c>
      <c r="I432" s="0" t="s">
        <v>2006</v>
      </c>
      <c r="J432" s="4" t="n">
        <v>45948</v>
      </c>
      <c r="K432" s="0" t="s">
        <v>465</v>
      </c>
      <c r="L432" s="0" t="s">
        <v>129</v>
      </c>
      <c r="M432" s="5" t="n">
        <v>2999</v>
      </c>
      <c r="N432" s="0" t="n">
        <v>3</v>
      </c>
      <c r="O432" s="0" t="s">
        <v>91</v>
      </c>
      <c r="P432" s="0" t="n">
        <v>6</v>
      </c>
      <c r="Q432" s="5" t="n">
        <v>50</v>
      </c>
      <c r="R432" s="4" t="n">
        <v>45954</v>
      </c>
      <c r="S432" s="0" t="s">
        <v>2007</v>
      </c>
      <c r="T432" s="0" t="n">
        <f aca="false">R432-J432</f>
        <v>6</v>
      </c>
      <c r="U432" s="5" t="n">
        <f aca="false">M432*N432</f>
        <v>8997</v>
      </c>
      <c r="V432" s="6" t="n">
        <f aca="false">IF(O432="FLAT5",5%,IF(O432="FLAT10",10%,IF(O432="FLAT15",15%,IF(O432="FLAT20",20%,0))))</f>
        <v>0.1</v>
      </c>
      <c r="W432" s="5" t="n">
        <f aca="false">U432*(1-V432)</f>
        <v>8097.3</v>
      </c>
      <c r="X432" s="5" t="n">
        <f aca="false">W432+IF(O432="DEL0",0,Q432)</f>
        <v>8147.3</v>
      </c>
      <c r="Y432" s="0" t="str">
        <f aca="false">B432&amp;" "&amp;C432</f>
        <v>Manoj Iyer</v>
      </c>
      <c r="Z432" s="0" t="str">
        <f aca="false">IF(T432&lt;P432,"BeforeTime",IF(T432=P432,"Intime","Late"))</f>
        <v>Intime</v>
      </c>
      <c r="AA432" s="0" t="str">
        <f aca="false">TEXT(J432,"mmm")</f>
        <v>Oct</v>
      </c>
      <c r="AB432" s="0" t="e">
        <f aca="false">xlookup(L432,Products!A:A,Products!B:B,"")</f>
        <v>#NAME?</v>
      </c>
    </row>
    <row r="433" customFormat="false" ht="15" hidden="false" customHeight="false" outlineLevel="0" collapsed="false">
      <c r="A433" s="0" t="s">
        <v>647</v>
      </c>
      <c r="B433" s="0" t="s">
        <v>46</v>
      </c>
      <c r="C433" s="0" t="s">
        <v>229</v>
      </c>
      <c r="D433" s="0" t="n">
        <v>32</v>
      </c>
      <c r="E433" s="0" t="s">
        <v>48</v>
      </c>
      <c r="F433" s="0" t="s">
        <v>160</v>
      </c>
      <c r="G433" s="0" t="s">
        <v>2008</v>
      </c>
      <c r="H433" s="0" t="s">
        <v>2009</v>
      </c>
      <c r="I433" s="0" t="s">
        <v>2010</v>
      </c>
      <c r="J433" s="4" t="n">
        <v>45938</v>
      </c>
      <c r="K433" s="0" t="s">
        <v>2011</v>
      </c>
      <c r="L433" s="0" t="s">
        <v>72</v>
      </c>
      <c r="M433" s="5" t="n">
        <v>1299</v>
      </c>
      <c r="N433" s="0" t="n">
        <v>4</v>
      </c>
      <c r="O433" s="0" t="s">
        <v>43</v>
      </c>
      <c r="P433" s="0" t="n">
        <v>3</v>
      </c>
      <c r="Q433" s="5" t="n">
        <v>90</v>
      </c>
      <c r="R433" s="4" t="n">
        <v>45943</v>
      </c>
      <c r="S433" s="0" t="s">
        <v>768</v>
      </c>
      <c r="T433" s="0" t="n">
        <f aca="false">R433-J433</f>
        <v>5</v>
      </c>
      <c r="U433" s="5" t="n">
        <f aca="false">M433*N433</f>
        <v>5196</v>
      </c>
      <c r="V433" s="6" t="n">
        <f aca="false">IF(O433="FLAT5",5%,IF(O433="FLAT10",10%,IF(O433="FLAT15",15%,IF(O433="FLAT20",20%,0))))</f>
        <v>0.2</v>
      </c>
      <c r="W433" s="5" t="n">
        <f aca="false">U433*(1-V433)</f>
        <v>4156.8</v>
      </c>
      <c r="X433" s="5" t="n">
        <f aca="false">W433+IF(O433="DEL0",0,Q433)</f>
        <v>4246.8</v>
      </c>
      <c r="Y433" s="0" t="str">
        <f aca="false">B433&amp;" "&amp;C433</f>
        <v>Sanjana Joshi</v>
      </c>
      <c r="Z433" s="0" t="str">
        <f aca="false">IF(T433&lt;P433,"BeforeTime",IF(T433=P433,"Intime","Late"))</f>
        <v>Late</v>
      </c>
      <c r="AA433" s="0" t="str">
        <f aca="false">TEXT(J433,"mmm")</f>
        <v>Oct</v>
      </c>
      <c r="AB433" s="0" t="e">
        <f aca="false">xlookup(L433,Products!A:A,Products!B:B,"")</f>
        <v>#NAME?</v>
      </c>
    </row>
    <row r="434" customFormat="false" ht="15" hidden="false" customHeight="false" outlineLevel="0" collapsed="false">
      <c r="A434" s="0" t="s">
        <v>522</v>
      </c>
      <c r="B434" s="0" t="s">
        <v>104</v>
      </c>
      <c r="C434" s="0" t="s">
        <v>95</v>
      </c>
      <c r="D434" s="0" t="n">
        <v>56</v>
      </c>
      <c r="E434" s="0" t="s">
        <v>36</v>
      </c>
      <c r="F434" s="0" t="s">
        <v>77</v>
      </c>
      <c r="G434" s="0" t="s">
        <v>2012</v>
      </c>
      <c r="H434" s="0" t="s">
        <v>2013</v>
      </c>
      <c r="I434" s="0" t="s">
        <v>2014</v>
      </c>
      <c r="J434" s="4" t="n">
        <v>45781</v>
      </c>
      <c r="K434" s="0" t="s">
        <v>2015</v>
      </c>
      <c r="L434" s="0" t="s">
        <v>100</v>
      </c>
      <c r="M434" s="5" t="n">
        <v>999</v>
      </c>
      <c r="N434" s="0" t="n">
        <v>3</v>
      </c>
      <c r="O434" s="0" t="s">
        <v>101</v>
      </c>
      <c r="P434" s="0" t="n">
        <v>3</v>
      </c>
      <c r="Q434" s="5" t="n">
        <v>60</v>
      </c>
      <c r="R434" s="4" t="n">
        <v>45784</v>
      </c>
      <c r="S434" s="0" t="s">
        <v>2016</v>
      </c>
      <c r="T434" s="0" t="n">
        <f aca="false">R434-J434</f>
        <v>3</v>
      </c>
      <c r="U434" s="5" t="n">
        <f aca="false">M434*N434</f>
        <v>2997</v>
      </c>
      <c r="V434" s="6" t="n">
        <f aca="false">IF(O434="FLAT5",5%,IF(O434="FLAT10",10%,IF(O434="FLAT15",15%,IF(O434="FLAT20",20%,0))))</f>
        <v>0.15</v>
      </c>
      <c r="W434" s="5" t="n">
        <f aca="false">U434*(1-V434)</f>
        <v>2547.45</v>
      </c>
      <c r="X434" s="5" t="n">
        <f aca="false">W434+IF(O434="DEL0",0,Q434)</f>
        <v>2607.45</v>
      </c>
      <c r="Y434" s="0" t="str">
        <f aca="false">B434&amp;" "&amp;C434</f>
        <v>Keerthi Mishra</v>
      </c>
      <c r="Z434" s="0" t="str">
        <f aca="false">IF(T434&lt;P434,"BeforeTime",IF(T434=P434,"Intime","Late"))</f>
        <v>Intime</v>
      </c>
      <c r="AA434" s="0" t="str">
        <f aca="false">TEXT(J434,"mmm")</f>
        <v>May</v>
      </c>
      <c r="AB434" s="0" t="e">
        <f aca="false">xlookup(L434,Products!A:A,Products!B:B,"")</f>
        <v>#NAME?</v>
      </c>
    </row>
    <row r="435" customFormat="false" ht="15" hidden="false" customHeight="false" outlineLevel="0" collapsed="false">
      <c r="A435" s="0" t="s">
        <v>2017</v>
      </c>
      <c r="B435" s="0" t="s">
        <v>188</v>
      </c>
      <c r="C435" s="0" t="s">
        <v>95</v>
      </c>
      <c r="D435" s="0" t="n">
        <v>37</v>
      </c>
      <c r="E435" s="0" t="s">
        <v>48</v>
      </c>
      <c r="F435" s="0" t="s">
        <v>262</v>
      </c>
      <c r="G435" s="0" t="s">
        <v>2018</v>
      </c>
      <c r="H435" s="0" t="s">
        <v>1077</v>
      </c>
      <c r="I435" s="0" t="s">
        <v>2019</v>
      </c>
      <c r="J435" s="4" t="n">
        <v>45716</v>
      </c>
      <c r="K435" s="0" t="s">
        <v>2020</v>
      </c>
      <c r="L435" s="0" t="s">
        <v>72</v>
      </c>
      <c r="M435" s="5" t="n">
        <v>1299</v>
      </c>
      <c r="N435" s="0" t="n">
        <v>2</v>
      </c>
      <c r="O435" s="0" t="s">
        <v>91</v>
      </c>
      <c r="P435" s="0" t="n">
        <v>3</v>
      </c>
      <c r="Q435" s="5" t="n">
        <v>50</v>
      </c>
      <c r="R435" s="4" t="n">
        <v>45719</v>
      </c>
      <c r="S435" s="0" t="s">
        <v>2021</v>
      </c>
      <c r="T435" s="0" t="n">
        <f aca="false">R435-J435</f>
        <v>3</v>
      </c>
      <c r="U435" s="5" t="n">
        <f aca="false">M435*N435</f>
        <v>2598</v>
      </c>
      <c r="V435" s="6" t="n">
        <f aca="false">IF(O435="FLAT5",5%,IF(O435="FLAT10",10%,IF(O435="FLAT15",15%,IF(O435="FLAT20",20%,0))))</f>
        <v>0.1</v>
      </c>
      <c r="W435" s="5" t="n">
        <f aca="false">U435*(1-V435)</f>
        <v>2338.2</v>
      </c>
      <c r="X435" s="5" t="n">
        <f aca="false">W435+IF(O435="DEL0",0,Q435)</f>
        <v>2388.2</v>
      </c>
      <c r="Y435" s="0" t="str">
        <f aca="false">B435&amp;" "&amp;C435</f>
        <v>Rohan Mishra</v>
      </c>
      <c r="Z435" s="0" t="str">
        <f aca="false">IF(T435&lt;P435,"BeforeTime",IF(T435=P435,"Intime","Late"))</f>
        <v>Intime</v>
      </c>
      <c r="AA435" s="0" t="str">
        <f aca="false">TEXT(J435,"mmm")</f>
        <v>Feb</v>
      </c>
      <c r="AB435" s="0" t="e">
        <f aca="false">xlookup(L435,Products!A:A,Products!B:B,"")</f>
        <v>#NAME?</v>
      </c>
    </row>
    <row r="436" customFormat="false" ht="15" hidden="false" customHeight="false" outlineLevel="0" collapsed="false">
      <c r="A436" s="0" t="s">
        <v>1289</v>
      </c>
      <c r="B436" s="0" t="s">
        <v>174</v>
      </c>
      <c r="C436" s="0" t="s">
        <v>47</v>
      </c>
      <c r="D436" s="0" t="n">
        <v>30</v>
      </c>
      <c r="E436" s="0" t="s">
        <v>48</v>
      </c>
      <c r="F436" s="0" t="s">
        <v>262</v>
      </c>
      <c r="G436" s="0" t="s">
        <v>2022</v>
      </c>
      <c r="H436" s="0" t="s">
        <v>599</v>
      </c>
      <c r="I436" s="0" t="s">
        <v>2023</v>
      </c>
      <c r="J436" s="4" t="n">
        <v>45800</v>
      </c>
      <c r="K436" s="0" t="s">
        <v>1104</v>
      </c>
      <c r="L436" s="0" t="s">
        <v>110</v>
      </c>
      <c r="M436" s="5" t="n">
        <v>1499</v>
      </c>
      <c r="N436" s="0" t="n">
        <v>3</v>
      </c>
      <c r="O436" s="0" t="s">
        <v>54</v>
      </c>
      <c r="P436" s="0" t="n">
        <v>7</v>
      </c>
      <c r="Q436" s="5" t="n">
        <v>0</v>
      </c>
      <c r="R436" s="4" t="n">
        <v>45807</v>
      </c>
      <c r="S436" s="0" t="s">
        <v>347</v>
      </c>
      <c r="T436" s="0" t="n">
        <f aca="false">R436-J436</f>
        <v>7</v>
      </c>
      <c r="U436" s="5" t="n">
        <f aca="false">M436*N436</f>
        <v>4497</v>
      </c>
      <c r="V436" s="6" t="n">
        <f aca="false">IF(O436="FLAT5",5%,IF(O436="FLAT10",10%,IF(O436="FLAT15",15%,IF(O436="FLAT20",20%,0))))</f>
        <v>0</v>
      </c>
      <c r="W436" s="5" t="n">
        <f aca="false">U436*(1-V436)</f>
        <v>4497</v>
      </c>
      <c r="X436" s="5" t="n">
        <f aca="false">W436+IF(O436="DEL0",0,Q436)</f>
        <v>4497</v>
      </c>
      <c r="Y436" s="0" t="str">
        <f aca="false">B436&amp;" "&amp;C436</f>
        <v>Ananya Verma</v>
      </c>
      <c r="Z436" s="0" t="str">
        <f aca="false">IF(T436&lt;P436,"BeforeTime",IF(T436=P436,"Intime","Late"))</f>
        <v>Intime</v>
      </c>
      <c r="AA436" s="0" t="str">
        <f aca="false">TEXT(J436,"mmm")</f>
        <v>May</v>
      </c>
      <c r="AB436" s="0" t="e">
        <f aca="false">xlookup(L436,Products!A:A,Products!B:B,"")</f>
        <v>#NAME?</v>
      </c>
    </row>
    <row r="437" customFormat="false" ht="15" hidden="false" customHeight="false" outlineLevel="0" collapsed="false">
      <c r="A437" s="0" t="s">
        <v>103</v>
      </c>
      <c r="B437" s="0" t="s">
        <v>57</v>
      </c>
      <c r="C437" s="0" t="s">
        <v>229</v>
      </c>
      <c r="D437" s="0" t="n">
        <v>58</v>
      </c>
      <c r="E437" s="0" t="s">
        <v>48</v>
      </c>
      <c r="F437" s="0" t="s">
        <v>140</v>
      </c>
      <c r="G437" s="0" t="s">
        <v>2024</v>
      </c>
      <c r="H437" s="0" t="s">
        <v>2025</v>
      </c>
      <c r="I437" s="0" t="s">
        <v>2026</v>
      </c>
      <c r="J437" s="4" t="n">
        <v>45704</v>
      </c>
      <c r="K437" s="0" t="s">
        <v>2027</v>
      </c>
      <c r="L437" s="0" t="s">
        <v>136</v>
      </c>
      <c r="M437" s="5" t="n">
        <v>1799</v>
      </c>
      <c r="N437" s="0" t="n">
        <v>3</v>
      </c>
      <c r="O437" s="0" t="s">
        <v>43</v>
      </c>
      <c r="P437" s="0" t="n">
        <v>5</v>
      </c>
      <c r="Q437" s="5" t="n">
        <v>50</v>
      </c>
      <c r="R437" s="4" t="n">
        <v>45711</v>
      </c>
      <c r="S437" s="0" t="s">
        <v>1207</v>
      </c>
      <c r="T437" s="0" t="n">
        <f aca="false">R437-J437</f>
        <v>7</v>
      </c>
      <c r="U437" s="5" t="n">
        <f aca="false">M437*N437</f>
        <v>5397</v>
      </c>
      <c r="V437" s="6" t="n">
        <f aca="false">IF(O437="FLAT5",5%,IF(O437="FLAT10",10%,IF(O437="FLAT15",15%,IF(O437="FLAT20",20%,0))))</f>
        <v>0.2</v>
      </c>
      <c r="W437" s="5" t="n">
        <f aca="false">U437*(1-V437)</f>
        <v>4317.6</v>
      </c>
      <c r="X437" s="5" t="n">
        <f aca="false">W437+IF(O437="DEL0",0,Q437)</f>
        <v>4367.6</v>
      </c>
      <c r="Y437" s="0" t="str">
        <f aca="false">B437&amp;" "&amp;C437</f>
        <v>Arjun Joshi</v>
      </c>
      <c r="Z437" s="0" t="str">
        <f aca="false">IF(T437&lt;P437,"BeforeTime",IF(T437=P437,"Intime","Late"))</f>
        <v>Late</v>
      </c>
      <c r="AA437" s="0" t="str">
        <f aca="false">TEXT(J437,"mmm")</f>
        <v>Feb</v>
      </c>
      <c r="AB437" s="0" t="e">
        <f aca="false">xlookup(L437,Products!A:A,Products!B:B,"")</f>
        <v>#NAME?</v>
      </c>
    </row>
    <row r="438" customFormat="false" ht="15" hidden="false" customHeight="false" outlineLevel="0" collapsed="false">
      <c r="A438" s="0" t="s">
        <v>187</v>
      </c>
      <c r="B438" s="0" t="s">
        <v>94</v>
      </c>
      <c r="C438" s="0" t="s">
        <v>181</v>
      </c>
      <c r="D438" s="0" t="n">
        <v>51</v>
      </c>
      <c r="E438" s="0" t="s">
        <v>36</v>
      </c>
      <c r="F438" s="0" t="s">
        <v>37</v>
      </c>
      <c r="G438" s="0" t="s">
        <v>2028</v>
      </c>
      <c r="H438" s="0" t="s">
        <v>2029</v>
      </c>
      <c r="I438" s="0" t="s">
        <v>2030</v>
      </c>
      <c r="J438" s="4" t="n">
        <v>45818</v>
      </c>
      <c r="K438" s="0" t="s">
        <v>2031</v>
      </c>
      <c r="L438" s="0" t="s">
        <v>64</v>
      </c>
      <c r="M438" s="5" t="n">
        <v>2799</v>
      </c>
      <c r="N438" s="0" t="n">
        <v>1</v>
      </c>
      <c r="O438" s="0" t="s">
        <v>54</v>
      </c>
      <c r="P438" s="0" t="n">
        <v>4</v>
      </c>
      <c r="Q438" s="5" t="n">
        <v>0</v>
      </c>
      <c r="R438" s="4" t="n">
        <v>45826</v>
      </c>
      <c r="S438" s="0" t="s">
        <v>1313</v>
      </c>
      <c r="T438" s="0" t="n">
        <f aca="false">R438-J438</f>
        <v>8</v>
      </c>
      <c r="U438" s="5" t="n">
        <f aca="false">M438*N438</f>
        <v>2799</v>
      </c>
      <c r="V438" s="6" t="n">
        <f aca="false">IF(O438="FLAT5",5%,IF(O438="FLAT10",10%,IF(O438="FLAT15",15%,IF(O438="FLAT20",20%,0))))</f>
        <v>0</v>
      </c>
      <c r="W438" s="5" t="n">
        <f aca="false">U438*(1-V438)</f>
        <v>2799</v>
      </c>
      <c r="X438" s="5" t="n">
        <f aca="false">W438+IF(O438="DEL0",0,Q438)</f>
        <v>2799</v>
      </c>
      <c r="Y438" s="0" t="str">
        <f aca="false">B438&amp;" "&amp;C438</f>
        <v>Manoj Gupta</v>
      </c>
      <c r="Z438" s="0" t="str">
        <f aca="false">IF(T438&lt;P438,"BeforeTime",IF(T438=P438,"Intime","Late"))</f>
        <v>Late</v>
      </c>
      <c r="AA438" s="0" t="str">
        <f aca="false">TEXT(J438,"mmm")</f>
        <v>Jun</v>
      </c>
      <c r="AB438" s="0" t="e">
        <f aca="false">xlookup(L438,Products!A:A,Products!B:B,"")</f>
        <v>#NAME?</v>
      </c>
    </row>
    <row r="439" customFormat="false" ht="15" hidden="false" customHeight="false" outlineLevel="0" collapsed="false">
      <c r="A439" s="0" t="s">
        <v>969</v>
      </c>
      <c r="B439" s="0" t="s">
        <v>582</v>
      </c>
      <c r="C439" s="0" t="s">
        <v>47</v>
      </c>
      <c r="D439" s="0" t="n">
        <v>37</v>
      </c>
      <c r="E439" s="0" t="s">
        <v>48</v>
      </c>
      <c r="F439" s="0" t="s">
        <v>160</v>
      </c>
      <c r="G439" s="0" t="s">
        <v>2032</v>
      </c>
      <c r="H439" s="0" t="s">
        <v>2033</v>
      </c>
      <c r="I439" s="0" t="s">
        <v>2034</v>
      </c>
      <c r="J439" s="4" t="n">
        <v>45849</v>
      </c>
      <c r="K439" s="0" t="s">
        <v>2035</v>
      </c>
      <c r="L439" s="0" t="s">
        <v>72</v>
      </c>
      <c r="M439" s="5" t="n">
        <v>1299</v>
      </c>
      <c r="N439" s="0" t="n">
        <v>1</v>
      </c>
      <c r="O439" s="0" t="s">
        <v>101</v>
      </c>
      <c r="P439" s="0" t="n">
        <v>7</v>
      </c>
      <c r="Q439" s="5" t="n">
        <v>90</v>
      </c>
      <c r="R439" s="4" t="n">
        <v>45859</v>
      </c>
      <c r="S439" s="0" t="s">
        <v>1049</v>
      </c>
      <c r="T439" s="0" t="n">
        <f aca="false">R439-J439</f>
        <v>10</v>
      </c>
      <c r="U439" s="5" t="n">
        <f aca="false">M439*N439</f>
        <v>1299</v>
      </c>
      <c r="V439" s="6" t="n">
        <f aca="false">IF(O439="FLAT5",5%,IF(O439="FLAT10",10%,IF(O439="FLAT15",15%,IF(O439="FLAT20",20%,0))))</f>
        <v>0.15</v>
      </c>
      <c r="W439" s="5" t="n">
        <f aca="false">U439*(1-V439)</f>
        <v>1104.15</v>
      </c>
      <c r="X439" s="5" t="n">
        <f aca="false">W439+IF(O439="DEL0",0,Q439)</f>
        <v>1194.15</v>
      </c>
      <c r="Y439" s="0" t="str">
        <f aca="false">B439&amp;" "&amp;C439</f>
        <v>Kavya Verma</v>
      </c>
      <c r="Z439" s="0" t="str">
        <f aca="false">IF(T439&lt;P439,"BeforeTime",IF(T439=P439,"Intime","Late"))</f>
        <v>Late</v>
      </c>
      <c r="AA439" s="0" t="str">
        <f aca="false">TEXT(J439,"mmm")</f>
        <v>Jul</v>
      </c>
      <c r="AB439" s="0" t="e">
        <f aca="false">xlookup(L439,Products!A:A,Products!B:B,"")</f>
        <v>#NAME?</v>
      </c>
    </row>
    <row r="440" customFormat="false" ht="15" hidden="false" customHeight="false" outlineLevel="0" collapsed="false">
      <c r="A440" s="0" t="s">
        <v>1176</v>
      </c>
      <c r="B440" s="0" t="s">
        <v>147</v>
      </c>
      <c r="C440" s="0" t="s">
        <v>417</v>
      </c>
      <c r="D440" s="0" t="n">
        <v>39</v>
      </c>
      <c r="E440" s="0" t="s">
        <v>36</v>
      </c>
      <c r="F440" s="0" t="s">
        <v>124</v>
      </c>
      <c r="G440" s="0" t="s">
        <v>2036</v>
      </c>
      <c r="H440" s="0" t="s">
        <v>554</v>
      </c>
      <c r="I440" s="0" t="s">
        <v>2037</v>
      </c>
      <c r="J440" s="4" t="n">
        <v>46001</v>
      </c>
      <c r="K440" s="0" t="s">
        <v>2038</v>
      </c>
      <c r="L440" s="0" t="s">
        <v>110</v>
      </c>
      <c r="M440" s="5" t="n">
        <v>1499</v>
      </c>
      <c r="N440" s="0" t="n">
        <v>1</v>
      </c>
      <c r="O440" s="0" t="s">
        <v>54</v>
      </c>
      <c r="P440" s="0" t="n">
        <v>3</v>
      </c>
      <c r="Q440" s="5" t="n">
        <v>0</v>
      </c>
      <c r="R440" s="4" t="n">
        <v>46004</v>
      </c>
      <c r="S440" s="0" t="s">
        <v>186</v>
      </c>
      <c r="T440" s="0" t="n">
        <f aca="false">R440-J440</f>
        <v>3</v>
      </c>
      <c r="U440" s="5" t="n">
        <f aca="false">M440*N440</f>
        <v>1499</v>
      </c>
      <c r="V440" s="6" t="n">
        <f aca="false">IF(O440="FLAT5",5%,IF(O440="FLAT10",10%,IF(O440="FLAT15",15%,IF(O440="FLAT20",20%,0))))</f>
        <v>0</v>
      </c>
      <c r="W440" s="5" t="n">
        <f aca="false">U440*(1-V440)</f>
        <v>1499</v>
      </c>
      <c r="X440" s="5" t="n">
        <f aca="false">W440+IF(O440="DEL0",0,Q440)</f>
        <v>1499</v>
      </c>
      <c r="Y440" s="0" t="str">
        <f aca="false">B440&amp;" "&amp;C440</f>
        <v>Pooja Mehta</v>
      </c>
      <c r="Z440" s="0" t="str">
        <f aca="false">IF(T440&lt;P440,"BeforeTime",IF(T440=P440,"Intime","Late"))</f>
        <v>Intime</v>
      </c>
      <c r="AA440" s="0" t="str">
        <f aca="false">TEXT(J440,"mmm")</f>
        <v>Dec</v>
      </c>
      <c r="AB440" s="0" t="e">
        <f aca="false">xlookup(L440,Products!A:A,Products!B:B,"")</f>
        <v>#NAME?</v>
      </c>
    </row>
    <row r="441" customFormat="false" ht="15" hidden="false" customHeight="false" outlineLevel="0" collapsed="false">
      <c r="A441" s="0" t="s">
        <v>1924</v>
      </c>
      <c r="B441" s="0" t="s">
        <v>405</v>
      </c>
      <c r="C441" s="0" t="s">
        <v>105</v>
      </c>
      <c r="D441" s="0" t="n">
        <v>44</v>
      </c>
      <c r="E441" s="0" t="s">
        <v>36</v>
      </c>
      <c r="F441" s="0" t="s">
        <v>160</v>
      </c>
      <c r="G441" s="0" t="s">
        <v>2039</v>
      </c>
      <c r="H441" s="0" t="s">
        <v>2040</v>
      </c>
      <c r="I441" s="0" t="s">
        <v>2041</v>
      </c>
      <c r="J441" s="4" t="n">
        <v>45778</v>
      </c>
      <c r="K441" s="0" t="s">
        <v>2042</v>
      </c>
      <c r="L441" s="0" t="s">
        <v>72</v>
      </c>
      <c r="M441" s="5" t="n">
        <v>1299</v>
      </c>
      <c r="N441" s="0" t="n">
        <v>3</v>
      </c>
      <c r="O441" s="0" t="s">
        <v>83</v>
      </c>
      <c r="P441" s="0" t="n">
        <v>4</v>
      </c>
      <c r="Q441" s="5" t="n">
        <v>50</v>
      </c>
      <c r="R441" s="4" t="n">
        <v>45782</v>
      </c>
      <c r="S441" s="0" t="s">
        <v>241</v>
      </c>
      <c r="T441" s="0" t="n">
        <f aca="false">R441-J441</f>
        <v>4</v>
      </c>
      <c r="U441" s="5" t="n">
        <f aca="false">M441*N441</f>
        <v>3897</v>
      </c>
      <c r="V441" s="6" t="n">
        <f aca="false">IF(O441="FLAT5",5%,IF(O441="FLAT10",10%,IF(O441="FLAT15",15%,IF(O441="FLAT20",20%,0))))</f>
        <v>0.05</v>
      </c>
      <c r="W441" s="5" t="n">
        <f aca="false">U441*(1-V441)</f>
        <v>3702.15</v>
      </c>
      <c r="X441" s="5" t="n">
        <f aca="false">W441+IF(O441="DEL0",0,Q441)</f>
        <v>3752.15</v>
      </c>
      <c r="Y441" s="0" t="str">
        <f aca="false">B441&amp;" "&amp;C441</f>
        <v>Sneha Bhat</v>
      </c>
      <c r="Z441" s="0" t="str">
        <f aca="false">IF(T441&lt;P441,"BeforeTime",IF(T441=P441,"Intime","Late"))</f>
        <v>Intime</v>
      </c>
      <c r="AA441" s="0" t="str">
        <f aca="false">TEXT(J441,"mmm")</f>
        <v>May</v>
      </c>
      <c r="AB441" s="0" t="e">
        <f aca="false">xlookup(L441,Products!A:A,Products!B:B,"")</f>
        <v>#NAME?</v>
      </c>
    </row>
    <row r="442" customFormat="false" ht="15" hidden="false" customHeight="false" outlineLevel="0" collapsed="false">
      <c r="A442" s="0" t="s">
        <v>367</v>
      </c>
      <c r="B442" s="0" t="s">
        <v>174</v>
      </c>
      <c r="C442" s="0" t="s">
        <v>181</v>
      </c>
      <c r="D442" s="0" t="n">
        <v>25</v>
      </c>
      <c r="E442" s="0" t="s">
        <v>48</v>
      </c>
      <c r="F442" s="0" t="s">
        <v>248</v>
      </c>
      <c r="G442" s="0" t="s">
        <v>2043</v>
      </c>
      <c r="H442" s="0" t="s">
        <v>1000</v>
      </c>
      <c r="I442" s="0" t="s">
        <v>2044</v>
      </c>
      <c r="J442" s="4" t="n">
        <v>45828</v>
      </c>
      <c r="K442" s="0" t="s">
        <v>568</v>
      </c>
      <c r="L442" s="0" t="s">
        <v>82</v>
      </c>
      <c r="M442" s="5" t="n">
        <v>1199</v>
      </c>
      <c r="N442" s="0" t="n">
        <v>4</v>
      </c>
      <c r="O442" s="0" t="s">
        <v>259</v>
      </c>
      <c r="P442" s="0" t="n">
        <v>7</v>
      </c>
      <c r="Q442" s="5" t="n">
        <v>40</v>
      </c>
      <c r="R442" s="4" t="n">
        <v>45835</v>
      </c>
      <c r="S442" s="0" t="s">
        <v>1631</v>
      </c>
      <c r="T442" s="0" t="n">
        <f aca="false">R442-J442</f>
        <v>7</v>
      </c>
      <c r="U442" s="5" t="n">
        <f aca="false">M442*N442</f>
        <v>4796</v>
      </c>
      <c r="V442" s="6" t="n">
        <f aca="false">IF(O442="FLAT5",5%,IF(O442="FLAT10",10%,IF(O442="FLAT15",15%,IF(O442="FLAT20",20%,0))))</f>
        <v>0</v>
      </c>
      <c r="W442" s="5" t="n">
        <f aca="false">U442*(1-V442)</f>
        <v>4796</v>
      </c>
      <c r="X442" s="5" t="n">
        <f aca="false">W442+IF(O442="DEL0",0,Q442)</f>
        <v>4836</v>
      </c>
      <c r="Y442" s="0" t="str">
        <f aca="false">B442&amp;" "&amp;C442</f>
        <v>Ananya Gupta</v>
      </c>
      <c r="Z442" s="0" t="str">
        <f aca="false">IF(T442&lt;P442,"BeforeTime",IF(T442=P442,"Intime","Late"))</f>
        <v>Intime</v>
      </c>
      <c r="AA442" s="0" t="str">
        <f aca="false">TEXT(J442,"mmm")</f>
        <v>Jun</v>
      </c>
      <c r="AB442" s="0" t="e">
        <f aca="false">xlookup(L442,Products!A:A,Products!B:B,"")</f>
        <v>#NAME?</v>
      </c>
    </row>
    <row r="443" customFormat="false" ht="15" hidden="false" customHeight="false" outlineLevel="0" collapsed="false">
      <c r="A443" s="0" t="s">
        <v>2045</v>
      </c>
      <c r="B443" s="0" t="s">
        <v>104</v>
      </c>
      <c r="C443" s="0" t="s">
        <v>229</v>
      </c>
      <c r="D443" s="0" t="n">
        <v>49</v>
      </c>
      <c r="E443" s="0" t="s">
        <v>36</v>
      </c>
      <c r="F443" s="0" t="s">
        <v>202</v>
      </c>
      <c r="G443" s="0" t="s">
        <v>2046</v>
      </c>
      <c r="H443" s="0" t="s">
        <v>2047</v>
      </c>
      <c r="I443" s="0" t="s">
        <v>2048</v>
      </c>
      <c r="J443" s="4" t="n">
        <v>45986</v>
      </c>
      <c r="K443" s="0" t="s">
        <v>2049</v>
      </c>
      <c r="L443" s="0" t="s">
        <v>119</v>
      </c>
      <c r="M443" s="5" t="n">
        <v>899</v>
      </c>
      <c r="N443" s="0" t="n">
        <v>2</v>
      </c>
      <c r="O443" s="0" t="s">
        <v>43</v>
      </c>
      <c r="P443" s="0" t="n">
        <v>3</v>
      </c>
      <c r="Q443" s="5" t="n">
        <v>120</v>
      </c>
      <c r="R443" s="4" t="n">
        <v>45987</v>
      </c>
      <c r="S443" s="0" t="s">
        <v>2050</v>
      </c>
      <c r="T443" s="0" t="n">
        <f aca="false">R443-J443</f>
        <v>1</v>
      </c>
      <c r="U443" s="5" t="n">
        <f aca="false">M443*N443</f>
        <v>1798</v>
      </c>
      <c r="V443" s="6" t="n">
        <f aca="false">IF(O443="FLAT5",5%,IF(O443="FLAT10",10%,IF(O443="FLAT15",15%,IF(O443="FLAT20",20%,0))))</f>
        <v>0.2</v>
      </c>
      <c r="W443" s="5" t="n">
        <f aca="false">U443*(1-V443)</f>
        <v>1438.4</v>
      </c>
      <c r="X443" s="5" t="n">
        <f aca="false">W443+IF(O443="DEL0",0,Q443)</f>
        <v>1558.4</v>
      </c>
      <c r="Y443" s="0" t="str">
        <f aca="false">B443&amp;" "&amp;C443</f>
        <v>Keerthi Joshi</v>
      </c>
      <c r="Z443" s="0" t="str">
        <f aca="false">IF(T443&lt;P443,"BeforeTime",IF(T443=P443,"Intime","Late"))</f>
        <v>BeforeTime</v>
      </c>
      <c r="AA443" s="0" t="str">
        <f aca="false">TEXT(J443,"mmm")</f>
        <v>Nov</v>
      </c>
      <c r="AB443" s="0" t="e">
        <f aca="false">xlookup(L443,Products!A:A,Products!B:B,"")</f>
        <v>#NAME?</v>
      </c>
    </row>
    <row r="444" customFormat="false" ht="15" hidden="false" customHeight="false" outlineLevel="0" collapsed="false">
      <c r="A444" s="0" t="s">
        <v>2017</v>
      </c>
      <c r="B444" s="0" t="s">
        <v>269</v>
      </c>
      <c r="C444" s="0" t="s">
        <v>195</v>
      </c>
      <c r="D444" s="0" t="n">
        <v>58</v>
      </c>
      <c r="E444" s="0" t="s">
        <v>48</v>
      </c>
      <c r="F444" s="0" t="s">
        <v>59</v>
      </c>
      <c r="G444" s="0" t="s">
        <v>2051</v>
      </c>
      <c r="H444" s="0" t="s">
        <v>965</v>
      </c>
      <c r="I444" s="0" t="s">
        <v>2052</v>
      </c>
      <c r="J444" s="4" t="n">
        <v>45726</v>
      </c>
      <c r="K444" s="0" t="s">
        <v>1640</v>
      </c>
      <c r="L444" s="0" t="s">
        <v>53</v>
      </c>
      <c r="M444" s="5" t="n">
        <v>2499</v>
      </c>
      <c r="N444" s="0" t="n">
        <v>4</v>
      </c>
      <c r="O444" s="0" t="s">
        <v>259</v>
      </c>
      <c r="P444" s="0" t="n">
        <v>4</v>
      </c>
      <c r="Q444" s="5" t="n">
        <v>60</v>
      </c>
      <c r="R444" s="4" t="n">
        <v>45729</v>
      </c>
      <c r="S444" s="0" t="s">
        <v>1480</v>
      </c>
      <c r="T444" s="0" t="n">
        <f aca="false">R444-J444</f>
        <v>3</v>
      </c>
      <c r="U444" s="5" t="n">
        <f aca="false">M444*N444</f>
        <v>9996</v>
      </c>
      <c r="V444" s="6" t="n">
        <f aca="false">IF(O444="FLAT5",5%,IF(O444="FLAT10",10%,IF(O444="FLAT15",15%,IF(O444="FLAT20",20%,0))))</f>
        <v>0</v>
      </c>
      <c r="W444" s="5" t="n">
        <f aca="false">U444*(1-V444)</f>
        <v>9996</v>
      </c>
      <c r="X444" s="5" t="n">
        <f aca="false">W444+IF(O444="DEL0",0,Q444)</f>
        <v>10056</v>
      </c>
      <c r="Y444" s="0" t="str">
        <f aca="false">B444&amp;" "&amp;C444</f>
        <v>Varun Singh</v>
      </c>
      <c r="Z444" s="0" t="str">
        <f aca="false">IF(T444&lt;P444,"BeforeTime",IF(T444=P444,"Intime","Late"))</f>
        <v>BeforeTime</v>
      </c>
      <c r="AA444" s="0" t="str">
        <f aca="false">TEXT(J444,"mmm")</f>
        <v>Mar</v>
      </c>
      <c r="AB444" s="0" t="e">
        <f aca="false">xlookup(L444,Products!A:A,Products!B:B,"")</f>
        <v>#NAME?</v>
      </c>
    </row>
    <row r="445" customFormat="false" ht="15" hidden="false" customHeight="false" outlineLevel="0" collapsed="false">
      <c r="A445" s="0" t="s">
        <v>166</v>
      </c>
      <c r="B445" s="0" t="s">
        <v>294</v>
      </c>
      <c r="C445" s="0" t="s">
        <v>58</v>
      </c>
      <c r="D445" s="0" t="n">
        <v>56</v>
      </c>
      <c r="E445" s="0" t="s">
        <v>36</v>
      </c>
      <c r="F445" s="0" t="s">
        <v>202</v>
      </c>
      <c r="G445" s="0" t="s">
        <v>2053</v>
      </c>
      <c r="H445" s="0" t="s">
        <v>778</v>
      </c>
      <c r="I445" s="0" t="s">
        <v>2054</v>
      </c>
      <c r="J445" s="4" t="n">
        <v>45894</v>
      </c>
      <c r="K445" s="0" t="s">
        <v>908</v>
      </c>
      <c r="L445" s="0" t="s">
        <v>110</v>
      </c>
      <c r="M445" s="5" t="n">
        <v>1499</v>
      </c>
      <c r="N445" s="0" t="n">
        <v>2</v>
      </c>
      <c r="O445" s="0" t="s">
        <v>259</v>
      </c>
      <c r="P445" s="0" t="n">
        <v>3</v>
      </c>
      <c r="Q445" s="5" t="n">
        <v>50</v>
      </c>
      <c r="R445" s="4" t="n">
        <v>45897</v>
      </c>
      <c r="S445" s="0" t="s">
        <v>1325</v>
      </c>
      <c r="T445" s="0" t="n">
        <f aca="false">R445-J445</f>
        <v>3</v>
      </c>
      <c r="U445" s="5" t="n">
        <f aca="false">M445*N445</f>
        <v>2998</v>
      </c>
      <c r="V445" s="6" t="n">
        <f aca="false">IF(O445="FLAT5",5%,IF(O445="FLAT10",10%,IF(O445="FLAT15",15%,IF(O445="FLAT20",20%,0))))</f>
        <v>0</v>
      </c>
      <c r="W445" s="5" t="n">
        <f aca="false">U445*(1-V445)</f>
        <v>2998</v>
      </c>
      <c r="X445" s="5" t="n">
        <f aca="false">W445+IF(O445="DEL0",0,Q445)</f>
        <v>3048</v>
      </c>
      <c r="Y445" s="0" t="str">
        <f aca="false">B445&amp;" "&amp;C445</f>
        <v>Aditya Iyer</v>
      </c>
      <c r="Z445" s="0" t="str">
        <f aca="false">IF(T445&lt;P445,"BeforeTime",IF(T445=P445,"Intime","Late"))</f>
        <v>Intime</v>
      </c>
      <c r="AA445" s="0" t="str">
        <f aca="false">TEXT(J445,"mmm")</f>
        <v>Aug</v>
      </c>
      <c r="AB445" s="0" t="e">
        <f aca="false">xlookup(L445,Products!A:A,Products!B:B,"")</f>
        <v>#NAME?</v>
      </c>
    </row>
    <row r="446" customFormat="false" ht="15" hidden="false" customHeight="false" outlineLevel="0" collapsed="false">
      <c r="A446" s="0" t="s">
        <v>859</v>
      </c>
      <c r="B446" s="0" t="s">
        <v>57</v>
      </c>
      <c r="C446" s="0" t="s">
        <v>417</v>
      </c>
      <c r="D446" s="0" t="n">
        <v>30</v>
      </c>
      <c r="E446" s="0" t="s">
        <v>36</v>
      </c>
      <c r="F446" s="0" t="s">
        <v>202</v>
      </c>
      <c r="G446" s="0" t="s">
        <v>2055</v>
      </c>
      <c r="H446" s="0" t="s">
        <v>1962</v>
      </c>
      <c r="I446" s="0" t="s">
        <v>2056</v>
      </c>
      <c r="J446" s="4" t="n">
        <v>45890</v>
      </c>
      <c r="K446" s="0" t="s">
        <v>1875</v>
      </c>
      <c r="L446" s="0" t="s">
        <v>82</v>
      </c>
      <c r="M446" s="5" t="n">
        <v>1199</v>
      </c>
      <c r="N446" s="0" t="n">
        <v>4</v>
      </c>
      <c r="O446" s="0" t="s">
        <v>54</v>
      </c>
      <c r="P446" s="0" t="n">
        <v>7</v>
      </c>
      <c r="Q446" s="5" t="n">
        <v>0</v>
      </c>
      <c r="R446" s="4" t="n">
        <v>45897</v>
      </c>
      <c r="S446" s="0" t="s">
        <v>1343</v>
      </c>
      <c r="T446" s="0" t="n">
        <f aca="false">R446-J446</f>
        <v>7</v>
      </c>
      <c r="U446" s="5" t="n">
        <f aca="false">M446*N446</f>
        <v>4796</v>
      </c>
      <c r="V446" s="6" t="n">
        <f aca="false">IF(O446="FLAT5",5%,IF(O446="FLAT10",10%,IF(O446="FLAT15",15%,IF(O446="FLAT20",20%,0))))</f>
        <v>0</v>
      </c>
      <c r="W446" s="5" t="n">
        <f aca="false">U446*(1-V446)</f>
        <v>4796</v>
      </c>
      <c r="X446" s="5" t="n">
        <f aca="false">W446+IF(O446="DEL0",0,Q446)</f>
        <v>4796</v>
      </c>
      <c r="Y446" s="0" t="str">
        <f aca="false">B446&amp;" "&amp;C446</f>
        <v>Arjun Mehta</v>
      </c>
      <c r="Z446" s="0" t="str">
        <f aca="false">IF(T446&lt;P446,"BeforeTime",IF(T446=P446,"Intime","Late"))</f>
        <v>Intime</v>
      </c>
      <c r="AA446" s="0" t="str">
        <f aca="false">TEXT(J446,"mmm")</f>
        <v>Aug</v>
      </c>
      <c r="AB446" s="0" t="e">
        <f aca="false">xlookup(L446,Products!A:A,Products!B:B,"")</f>
        <v>#NAME?</v>
      </c>
    </row>
    <row r="447" customFormat="false" ht="15" hidden="false" customHeight="false" outlineLevel="0" collapsed="false">
      <c r="A447" s="0" t="s">
        <v>2057</v>
      </c>
      <c r="B447" s="0" t="s">
        <v>147</v>
      </c>
      <c r="C447" s="0" t="s">
        <v>58</v>
      </c>
      <c r="D447" s="0" t="n">
        <v>28</v>
      </c>
      <c r="E447" s="0" t="s">
        <v>48</v>
      </c>
      <c r="F447" s="0" t="s">
        <v>37</v>
      </c>
      <c r="G447" s="0" t="s">
        <v>2058</v>
      </c>
      <c r="H447" s="0" t="s">
        <v>2059</v>
      </c>
      <c r="I447" s="0" t="s">
        <v>2060</v>
      </c>
      <c r="J447" s="4" t="n">
        <v>45802</v>
      </c>
      <c r="K447" s="0" t="s">
        <v>1772</v>
      </c>
      <c r="L447" s="0" t="s">
        <v>64</v>
      </c>
      <c r="M447" s="5" t="n">
        <v>2799</v>
      </c>
      <c r="N447" s="0" t="n">
        <v>2</v>
      </c>
      <c r="O447" s="0" t="s">
        <v>259</v>
      </c>
      <c r="P447" s="0" t="n">
        <v>7</v>
      </c>
      <c r="Q447" s="5" t="n">
        <v>75</v>
      </c>
      <c r="R447" s="4" t="n">
        <v>45809</v>
      </c>
      <c r="S447" s="0" t="s">
        <v>1451</v>
      </c>
      <c r="T447" s="0" t="n">
        <f aca="false">R447-J447</f>
        <v>7</v>
      </c>
      <c r="U447" s="5" t="n">
        <f aca="false">M447*N447</f>
        <v>5598</v>
      </c>
      <c r="V447" s="6" t="n">
        <f aca="false">IF(O447="FLAT5",5%,IF(O447="FLAT10",10%,IF(O447="FLAT15",15%,IF(O447="FLAT20",20%,0))))</f>
        <v>0</v>
      </c>
      <c r="W447" s="5" t="n">
        <f aca="false">U447*(1-V447)</f>
        <v>5598</v>
      </c>
      <c r="X447" s="5" t="n">
        <f aca="false">W447+IF(O447="DEL0",0,Q447)</f>
        <v>5673</v>
      </c>
      <c r="Y447" s="0" t="str">
        <f aca="false">B447&amp;" "&amp;C447</f>
        <v>Pooja Iyer</v>
      </c>
      <c r="Z447" s="0" t="str">
        <f aca="false">IF(T447&lt;P447,"BeforeTime",IF(T447=P447,"Intime","Late"))</f>
        <v>Intime</v>
      </c>
      <c r="AA447" s="0" t="str">
        <f aca="false">TEXT(J447,"mmm")</f>
        <v>May</v>
      </c>
      <c r="AB447" s="0" t="e">
        <f aca="false">xlookup(L447,Products!A:A,Products!B:B,"")</f>
        <v>#NAME?</v>
      </c>
    </row>
    <row r="448" customFormat="false" ht="15" hidden="false" customHeight="false" outlineLevel="0" collapsed="false">
      <c r="A448" s="0" t="s">
        <v>275</v>
      </c>
      <c r="B448" s="0" t="s">
        <v>104</v>
      </c>
      <c r="C448" s="0" t="s">
        <v>105</v>
      </c>
      <c r="D448" s="0" t="n">
        <v>35</v>
      </c>
      <c r="E448" s="0" t="s">
        <v>48</v>
      </c>
      <c r="F448" s="0" t="s">
        <v>124</v>
      </c>
      <c r="G448" s="0" t="s">
        <v>2061</v>
      </c>
      <c r="H448" s="0" t="s">
        <v>429</v>
      </c>
      <c r="I448" s="0" t="s">
        <v>2062</v>
      </c>
      <c r="J448" s="4" t="n">
        <v>45898</v>
      </c>
      <c r="K448" s="0" t="s">
        <v>2063</v>
      </c>
      <c r="L448" s="0" t="s">
        <v>119</v>
      </c>
      <c r="M448" s="5" t="n">
        <v>899</v>
      </c>
      <c r="N448" s="0" t="n">
        <v>4</v>
      </c>
      <c r="O448" s="0" t="s">
        <v>83</v>
      </c>
      <c r="P448" s="0" t="n">
        <v>3</v>
      </c>
      <c r="Q448" s="5" t="n">
        <v>120</v>
      </c>
      <c r="R448" s="4" t="n">
        <v>45905</v>
      </c>
      <c r="S448" s="0" t="s">
        <v>2064</v>
      </c>
      <c r="T448" s="0" t="n">
        <f aca="false">R448-J448</f>
        <v>7</v>
      </c>
      <c r="U448" s="5" t="n">
        <f aca="false">M448*N448</f>
        <v>3596</v>
      </c>
      <c r="V448" s="6" t="n">
        <f aca="false">IF(O448="FLAT5",5%,IF(O448="FLAT10",10%,IF(O448="FLAT15",15%,IF(O448="FLAT20",20%,0))))</f>
        <v>0.05</v>
      </c>
      <c r="W448" s="5" t="n">
        <f aca="false">U448*(1-V448)</f>
        <v>3416.2</v>
      </c>
      <c r="X448" s="5" t="n">
        <f aca="false">W448+IF(O448="DEL0",0,Q448)</f>
        <v>3536.2</v>
      </c>
      <c r="Y448" s="0" t="str">
        <f aca="false">B448&amp;" "&amp;C448</f>
        <v>Keerthi Bhat</v>
      </c>
      <c r="Z448" s="0" t="str">
        <f aca="false">IF(T448&lt;P448,"BeforeTime",IF(T448=P448,"Intime","Late"))</f>
        <v>Late</v>
      </c>
      <c r="AA448" s="0" t="str">
        <f aca="false">TEXT(J448,"mmm")</f>
        <v>Aug</v>
      </c>
      <c r="AB448" s="0" t="e">
        <f aca="false">xlookup(L448,Products!A:A,Products!B:B,"")</f>
        <v>#NAME?</v>
      </c>
    </row>
    <row r="449" customFormat="false" ht="15" hidden="false" customHeight="false" outlineLevel="0" collapsed="false">
      <c r="A449" s="0" t="s">
        <v>1654</v>
      </c>
      <c r="B449" s="0" t="s">
        <v>75</v>
      </c>
      <c r="C449" s="0" t="s">
        <v>76</v>
      </c>
      <c r="D449" s="0" t="n">
        <v>26</v>
      </c>
      <c r="E449" s="0" t="s">
        <v>36</v>
      </c>
      <c r="F449" s="0" t="s">
        <v>202</v>
      </c>
      <c r="G449" s="0" t="s">
        <v>2065</v>
      </c>
      <c r="H449" s="0" t="s">
        <v>2066</v>
      </c>
      <c r="I449" s="0" t="s">
        <v>2067</v>
      </c>
      <c r="J449" s="4" t="n">
        <v>45839</v>
      </c>
      <c r="K449" s="0" t="s">
        <v>817</v>
      </c>
      <c r="L449" s="0" t="s">
        <v>391</v>
      </c>
      <c r="M449" s="5" t="n">
        <v>3499</v>
      </c>
      <c r="N449" s="0" t="n">
        <v>2</v>
      </c>
      <c r="O449" s="0" t="s">
        <v>101</v>
      </c>
      <c r="P449" s="0" t="n">
        <v>6</v>
      </c>
      <c r="Q449" s="5" t="n">
        <v>40</v>
      </c>
      <c r="R449" s="4" t="n">
        <v>45846</v>
      </c>
      <c r="S449" s="0" t="s">
        <v>2068</v>
      </c>
      <c r="T449" s="0" t="n">
        <f aca="false">R449-J449</f>
        <v>7</v>
      </c>
      <c r="U449" s="5" t="n">
        <f aca="false">M449*N449</f>
        <v>6998</v>
      </c>
      <c r="V449" s="6" t="n">
        <f aca="false">IF(O449="FLAT5",5%,IF(O449="FLAT10",10%,IF(O449="FLAT15",15%,IF(O449="FLAT20",20%,0))))</f>
        <v>0.15</v>
      </c>
      <c r="W449" s="5" t="n">
        <f aca="false">U449*(1-V449)</f>
        <v>5948.3</v>
      </c>
      <c r="X449" s="5" t="n">
        <f aca="false">W449+IF(O449="DEL0",0,Q449)</f>
        <v>5988.3</v>
      </c>
      <c r="Y449" s="0" t="str">
        <f aca="false">B449&amp;" "&amp;C449</f>
        <v>Vikram Patel</v>
      </c>
      <c r="Z449" s="0" t="str">
        <f aca="false">IF(T449&lt;P449,"BeforeTime",IF(T449=P449,"Intime","Late"))</f>
        <v>Late</v>
      </c>
      <c r="AA449" s="0" t="str">
        <f aca="false">TEXT(J449,"mmm")</f>
        <v>Jul</v>
      </c>
      <c r="AB449" s="0" t="e">
        <f aca="false">xlookup(L449,Products!A:A,Products!B:B,"")</f>
        <v>#NAME?</v>
      </c>
    </row>
    <row r="450" customFormat="false" ht="15" hidden="false" customHeight="false" outlineLevel="0" collapsed="false">
      <c r="A450" s="0" t="s">
        <v>2069</v>
      </c>
      <c r="B450" s="0" t="s">
        <v>67</v>
      </c>
      <c r="C450" s="0" t="s">
        <v>195</v>
      </c>
      <c r="D450" s="0" t="n">
        <v>55</v>
      </c>
      <c r="E450" s="0" t="s">
        <v>36</v>
      </c>
      <c r="F450" s="0" t="s">
        <v>124</v>
      </c>
      <c r="G450" s="0" t="s">
        <v>2070</v>
      </c>
      <c r="H450" s="0" t="s">
        <v>1123</v>
      </c>
      <c r="I450" s="0" t="s">
        <v>2071</v>
      </c>
      <c r="J450" s="4" t="n">
        <v>45910</v>
      </c>
      <c r="K450" s="0" t="s">
        <v>517</v>
      </c>
      <c r="L450" s="0" t="s">
        <v>42</v>
      </c>
      <c r="M450" s="5" t="n">
        <v>2199</v>
      </c>
      <c r="N450" s="0" t="n">
        <v>3</v>
      </c>
      <c r="O450" s="0" t="s">
        <v>83</v>
      </c>
      <c r="P450" s="0" t="n">
        <v>4</v>
      </c>
      <c r="Q450" s="5" t="n">
        <v>40</v>
      </c>
      <c r="R450" s="4" t="n">
        <v>45916</v>
      </c>
      <c r="S450" s="0" t="s">
        <v>951</v>
      </c>
      <c r="T450" s="0" t="n">
        <f aca="false">R450-J450</f>
        <v>6</v>
      </c>
      <c r="U450" s="5" t="n">
        <f aca="false">M450*N450</f>
        <v>6597</v>
      </c>
      <c r="V450" s="6" t="n">
        <f aca="false">IF(O450="FLAT5",5%,IF(O450="FLAT10",10%,IF(O450="FLAT15",15%,IF(O450="FLAT20",20%,0))))</f>
        <v>0.05</v>
      </c>
      <c r="W450" s="5" t="n">
        <f aca="false">U450*(1-V450)</f>
        <v>6267.15</v>
      </c>
      <c r="X450" s="5" t="n">
        <f aca="false">W450+IF(O450="DEL0",0,Q450)</f>
        <v>6307.15</v>
      </c>
      <c r="Y450" s="0" t="str">
        <f aca="false">B450&amp;" "&amp;C450</f>
        <v>Priya Singh</v>
      </c>
      <c r="Z450" s="0" t="str">
        <f aca="false">IF(T450&lt;P450,"BeforeTime",IF(T450=P450,"Intime","Late"))</f>
        <v>Late</v>
      </c>
      <c r="AA450" s="0" t="str">
        <f aca="false">TEXT(J450,"mmm")</f>
        <v>Sep</v>
      </c>
      <c r="AB450" s="0" t="e">
        <f aca="false">xlookup(L450,Products!A:A,Products!B:B,"")</f>
        <v>#NAME?</v>
      </c>
    </row>
    <row r="451" customFormat="false" ht="15" hidden="false" customHeight="false" outlineLevel="0" collapsed="false">
      <c r="A451" s="0" t="s">
        <v>2072</v>
      </c>
      <c r="B451" s="0" t="s">
        <v>86</v>
      </c>
      <c r="C451" s="0" t="s">
        <v>210</v>
      </c>
      <c r="D451" s="0" t="n">
        <v>28</v>
      </c>
      <c r="E451" s="0" t="s">
        <v>48</v>
      </c>
      <c r="F451" s="0" t="s">
        <v>114</v>
      </c>
      <c r="G451" s="0" t="s">
        <v>2073</v>
      </c>
      <c r="H451" s="0" t="s">
        <v>419</v>
      </c>
      <c r="I451" s="0" t="s">
        <v>2074</v>
      </c>
      <c r="J451" s="4" t="n">
        <v>45802</v>
      </c>
      <c r="K451" s="0" t="s">
        <v>506</v>
      </c>
      <c r="L451" s="0" t="s">
        <v>82</v>
      </c>
      <c r="M451" s="5" t="n">
        <v>1199</v>
      </c>
      <c r="N451" s="0" t="n">
        <v>3</v>
      </c>
      <c r="O451" s="0" t="s">
        <v>259</v>
      </c>
      <c r="P451" s="0" t="n">
        <v>4</v>
      </c>
      <c r="Q451" s="5" t="n">
        <v>60</v>
      </c>
      <c r="R451" s="4" t="n">
        <v>45806</v>
      </c>
      <c r="S451" s="0" t="s">
        <v>845</v>
      </c>
      <c r="T451" s="0" t="n">
        <f aca="false">R451-J451</f>
        <v>4</v>
      </c>
      <c r="U451" s="5" t="n">
        <f aca="false">M451*N451</f>
        <v>3597</v>
      </c>
      <c r="V451" s="6" t="n">
        <f aca="false">IF(O451="FLAT5",5%,IF(O451="FLAT10",10%,IF(O451="FLAT15",15%,IF(O451="FLAT20",20%,0))))</f>
        <v>0</v>
      </c>
      <c r="W451" s="5" t="n">
        <f aca="false">U451*(1-V451)</f>
        <v>3597</v>
      </c>
      <c r="X451" s="5" t="n">
        <f aca="false">W451+IF(O451="DEL0",0,Q451)</f>
        <v>3657</v>
      </c>
      <c r="Y451" s="0" t="str">
        <f aca="false">B451&amp;" "&amp;C451</f>
        <v>Rahul Reddy</v>
      </c>
      <c r="Z451" s="0" t="str">
        <f aca="false">IF(T451&lt;P451,"BeforeTime",IF(T451=P451,"Intime","Late"))</f>
        <v>Intime</v>
      </c>
      <c r="AA451" s="0" t="str">
        <f aca="false">TEXT(J451,"mmm")</f>
        <v>May</v>
      </c>
      <c r="AB451" s="0" t="e">
        <f aca="false">xlookup(L451,Products!A:A,Products!B:B,"")</f>
        <v>#NAME?</v>
      </c>
    </row>
    <row r="452" customFormat="false" ht="15" hidden="false" customHeight="false" outlineLevel="0" collapsed="false">
      <c r="A452" s="0" t="s">
        <v>929</v>
      </c>
      <c r="B452" s="0" t="s">
        <v>209</v>
      </c>
      <c r="C452" s="0" t="s">
        <v>105</v>
      </c>
      <c r="D452" s="0" t="n">
        <v>23</v>
      </c>
      <c r="E452" s="0" t="s">
        <v>36</v>
      </c>
      <c r="F452" s="0" t="s">
        <v>262</v>
      </c>
      <c r="G452" s="0" t="s">
        <v>2075</v>
      </c>
      <c r="H452" s="0" t="s">
        <v>1543</v>
      </c>
      <c r="I452" s="0" t="s">
        <v>2076</v>
      </c>
      <c r="J452" s="4" t="n">
        <v>45898</v>
      </c>
      <c r="K452" s="0" t="s">
        <v>1383</v>
      </c>
      <c r="L452" s="0" t="s">
        <v>110</v>
      </c>
      <c r="M452" s="5" t="n">
        <v>1499</v>
      </c>
      <c r="N452" s="0" t="n">
        <v>2</v>
      </c>
      <c r="O452" s="0" t="s">
        <v>91</v>
      </c>
      <c r="P452" s="0" t="n">
        <v>4</v>
      </c>
      <c r="Q452" s="5" t="n">
        <v>75</v>
      </c>
      <c r="R452" s="4" t="n">
        <v>45900</v>
      </c>
      <c r="S452" s="0" t="s">
        <v>214</v>
      </c>
      <c r="T452" s="0" t="n">
        <f aca="false">R452-J452</f>
        <v>2</v>
      </c>
      <c r="U452" s="5" t="n">
        <f aca="false">M452*N452</f>
        <v>2998</v>
      </c>
      <c r="V452" s="6" t="n">
        <f aca="false">IF(O452="FLAT5",5%,IF(O452="FLAT10",10%,IF(O452="FLAT15",15%,IF(O452="FLAT20",20%,0))))</f>
        <v>0.1</v>
      </c>
      <c r="W452" s="5" t="n">
        <f aca="false">U452*(1-V452)</f>
        <v>2698.2</v>
      </c>
      <c r="X452" s="5" t="n">
        <f aca="false">W452+IF(O452="DEL0",0,Q452)</f>
        <v>2773.2</v>
      </c>
      <c r="Y452" s="0" t="str">
        <f aca="false">B452&amp;" "&amp;C452</f>
        <v>Ishaan Bhat</v>
      </c>
      <c r="Z452" s="0" t="str">
        <f aca="false">IF(T452&lt;P452,"BeforeTime",IF(T452=P452,"Intime","Late"))</f>
        <v>BeforeTime</v>
      </c>
      <c r="AA452" s="0" t="str">
        <f aca="false">TEXT(J452,"mmm")</f>
        <v>Aug</v>
      </c>
      <c r="AB452" s="0" t="e">
        <f aca="false">xlookup(L452,Products!A:A,Products!B:B,"")</f>
        <v>#NAME?</v>
      </c>
    </row>
    <row r="453" customFormat="false" ht="15" hidden="false" customHeight="false" outlineLevel="0" collapsed="false">
      <c r="A453" s="0" t="s">
        <v>2077</v>
      </c>
      <c r="B453" s="0" t="s">
        <v>147</v>
      </c>
      <c r="C453" s="0" t="s">
        <v>105</v>
      </c>
      <c r="D453" s="0" t="n">
        <v>51</v>
      </c>
      <c r="E453" s="0" t="s">
        <v>36</v>
      </c>
      <c r="F453" s="0" t="s">
        <v>262</v>
      </c>
      <c r="G453" s="0" t="s">
        <v>2078</v>
      </c>
      <c r="H453" s="0" t="s">
        <v>1221</v>
      </c>
      <c r="I453" s="0" t="s">
        <v>2079</v>
      </c>
      <c r="J453" s="4" t="n">
        <v>45803</v>
      </c>
      <c r="K453" s="0" t="s">
        <v>1112</v>
      </c>
      <c r="L453" s="0" t="s">
        <v>129</v>
      </c>
      <c r="M453" s="5" t="n">
        <v>2999</v>
      </c>
      <c r="N453" s="0" t="n">
        <v>3</v>
      </c>
      <c r="O453" s="0" t="s">
        <v>83</v>
      </c>
      <c r="P453" s="0" t="n">
        <v>3</v>
      </c>
      <c r="Q453" s="5" t="n">
        <v>90</v>
      </c>
      <c r="R453" s="4" t="n">
        <v>45809</v>
      </c>
      <c r="S453" s="0" t="s">
        <v>2027</v>
      </c>
      <c r="T453" s="0" t="n">
        <f aca="false">R453-J453</f>
        <v>6</v>
      </c>
      <c r="U453" s="5" t="n">
        <f aca="false">M453*N453</f>
        <v>8997</v>
      </c>
      <c r="V453" s="6" t="n">
        <f aca="false">IF(O453="FLAT5",5%,IF(O453="FLAT10",10%,IF(O453="FLAT15",15%,IF(O453="FLAT20",20%,0))))</f>
        <v>0.05</v>
      </c>
      <c r="W453" s="5" t="n">
        <f aca="false">U453*(1-V453)</f>
        <v>8547.15</v>
      </c>
      <c r="X453" s="5" t="n">
        <f aca="false">W453+IF(O453="DEL0",0,Q453)</f>
        <v>8637.15</v>
      </c>
      <c r="Y453" s="0" t="str">
        <f aca="false">B453&amp;" "&amp;C453</f>
        <v>Pooja Bhat</v>
      </c>
      <c r="Z453" s="0" t="str">
        <f aca="false">IF(T453&lt;P453,"BeforeTime",IF(T453=P453,"Intime","Late"))</f>
        <v>Late</v>
      </c>
      <c r="AA453" s="0" t="str">
        <f aca="false">TEXT(J453,"mmm")</f>
        <v>May</v>
      </c>
      <c r="AB453" s="0" t="e">
        <f aca="false">xlookup(L453,Products!A:A,Products!B:B,"")</f>
        <v>#NAME?</v>
      </c>
    </row>
    <row r="454" customFormat="false" ht="15" hidden="false" customHeight="false" outlineLevel="0" collapsed="false">
      <c r="A454" s="0" t="s">
        <v>2080</v>
      </c>
      <c r="B454" s="0" t="s">
        <v>94</v>
      </c>
      <c r="C454" s="0" t="s">
        <v>113</v>
      </c>
      <c r="D454" s="0" t="n">
        <v>46</v>
      </c>
      <c r="E454" s="0" t="s">
        <v>36</v>
      </c>
      <c r="F454" s="0" t="s">
        <v>37</v>
      </c>
      <c r="G454" s="0" t="s">
        <v>2081</v>
      </c>
      <c r="H454" s="0" t="s">
        <v>1073</v>
      </c>
      <c r="I454" s="0" t="s">
        <v>2082</v>
      </c>
      <c r="J454" s="4" t="n">
        <v>45671</v>
      </c>
      <c r="K454" s="0" t="s">
        <v>1581</v>
      </c>
      <c r="L454" s="0" t="s">
        <v>53</v>
      </c>
      <c r="M454" s="5" t="n">
        <v>2499</v>
      </c>
      <c r="N454" s="0" t="n">
        <v>1</v>
      </c>
      <c r="O454" s="0" t="s">
        <v>259</v>
      </c>
      <c r="P454" s="0" t="n">
        <v>4</v>
      </c>
      <c r="Q454" s="5" t="n">
        <v>120</v>
      </c>
      <c r="R454" s="4" t="n">
        <v>45675</v>
      </c>
      <c r="S454" s="0" t="s">
        <v>2083</v>
      </c>
      <c r="T454" s="0" t="n">
        <f aca="false">R454-J454</f>
        <v>4</v>
      </c>
      <c r="U454" s="5" t="n">
        <f aca="false">M454*N454</f>
        <v>2499</v>
      </c>
      <c r="V454" s="6" t="n">
        <f aca="false">IF(O454="FLAT5",5%,IF(O454="FLAT10",10%,IF(O454="FLAT15",15%,IF(O454="FLAT20",20%,0))))</f>
        <v>0</v>
      </c>
      <c r="W454" s="5" t="n">
        <f aca="false">U454*(1-V454)</f>
        <v>2499</v>
      </c>
      <c r="X454" s="5" t="n">
        <f aca="false">W454+IF(O454="DEL0",0,Q454)</f>
        <v>2619</v>
      </c>
      <c r="Y454" s="0" t="str">
        <f aca="false">B454&amp;" "&amp;C454</f>
        <v>Manoj Rao</v>
      </c>
      <c r="Z454" s="0" t="str">
        <f aca="false">IF(T454&lt;P454,"BeforeTime",IF(T454=P454,"Intime","Late"))</f>
        <v>Intime</v>
      </c>
      <c r="AA454" s="0" t="str">
        <f aca="false">TEXT(J454,"mmm")</f>
        <v>Jan</v>
      </c>
      <c r="AB454" s="0" t="e">
        <f aca="false">xlookup(L454,Products!A:A,Products!B:B,"")</f>
        <v>#NAME?</v>
      </c>
    </row>
    <row r="455" customFormat="false" ht="15" hidden="false" customHeight="false" outlineLevel="0" collapsed="false">
      <c r="A455" s="0" t="s">
        <v>1506</v>
      </c>
      <c r="B455" s="0" t="s">
        <v>86</v>
      </c>
      <c r="C455" s="0" t="s">
        <v>195</v>
      </c>
      <c r="D455" s="0" t="n">
        <v>21</v>
      </c>
      <c r="E455" s="0" t="s">
        <v>36</v>
      </c>
      <c r="F455" s="0" t="s">
        <v>248</v>
      </c>
      <c r="G455" s="0" t="s">
        <v>2084</v>
      </c>
      <c r="H455" s="0" t="s">
        <v>1428</v>
      </c>
      <c r="I455" s="0" t="s">
        <v>2085</v>
      </c>
      <c r="J455" s="4" t="n">
        <v>45795</v>
      </c>
      <c r="K455" s="0" t="s">
        <v>1739</v>
      </c>
      <c r="L455" s="0" t="s">
        <v>82</v>
      </c>
      <c r="M455" s="5" t="n">
        <v>1199</v>
      </c>
      <c r="N455" s="0" t="n">
        <v>4</v>
      </c>
      <c r="O455" s="0" t="s">
        <v>101</v>
      </c>
      <c r="P455" s="0" t="n">
        <v>6</v>
      </c>
      <c r="Q455" s="5" t="n">
        <v>60</v>
      </c>
      <c r="R455" s="4" t="n">
        <v>45801</v>
      </c>
      <c r="S455" s="0" t="s">
        <v>165</v>
      </c>
      <c r="T455" s="0" t="n">
        <f aca="false">R455-J455</f>
        <v>6</v>
      </c>
      <c r="U455" s="5" t="n">
        <f aca="false">M455*N455</f>
        <v>4796</v>
      </c>
      <c r="V455" s="6" t="n">
        <f aca="false">IF(O455="FLAT5",5%,IF(O455="FLAT10",10%,IF(O455="FLAT15",15%,IF(O455="FLAT20",20%,0))))</f>
        <v>0.15</v>
      </c>
      <c r="W455" s="5" t="n">
        <f aca="false">U455*(1-V455)</f>
        <v>4076.6</v>
      </c>
      <c r="X455" s="5" t="n">
        <f aca="false">W455+IF(O455="DEL0",0,Q455)</f>
        <v>4136.6</v>
      </c>
      <c r="Y455" s="0" t="str">
        <f aca="false">B455&amp;" "&amp;C455</f>
        <v>Rahul Singh</v>
      </c>
      <c r="Z455" s="0" t="str">
        <f aca="false">IF(T455&lt;P455,"BeforeTime",IF(T455=P455,"Intime","Late"))</f>
        <v>Intime</v>
      </c>
      <c r="AA455" s="0" t="str">
        <f aca="false">TEXT(J455,"mmm")</f>
        <v>May</v>
      </c>
      <c r="AB455" s="0" t="e">
        <f aca="false">xlookup(L455,Products!A:A,Products!B:B,"")</f>
        <v>#NAME?</v>
      </c>
    </row>
    <row r="456" customFormat="false" ht="15" hidden="false" customHeight="false" outlineLevel="0" collapsed="false">
      <c r="A456" s="0" t="s">
        <v>1272</v>
      </c>
      <c r="B456" s="0" t="s">
        <v>94</v>
      </c>
      <c r="C456" s="0" t="s">
        <v>195</v>
      </c>
      <c r="D456" s="0" t="n">
        <v>33</v>
      </c>
      <c r="E456" s="0" t="s">
        <v>36</v>
      </c>
      <c r="F456" s="0" t="s">
        <v>114</v>
      </c>
      <c r="G456" s="0" t="s">
        <v>2086</v>
      </c>
      <c r="H456" s="0" t="s">
        <v>493</v>
      </c>
      <c r="I456" s="0" t="s">
        <v>2087</v>
      </c>
      <c r="J456" s="4" t="n">
        <v>45938</v>
      </c>
      <c r="K456" s="0" t="s">
        <v>1942</v>
      </c>
      <c r="L456" s="0" t="s">
        <v>391</v>
      </c>
      <c r="M456" s="5" t="n">
        <v>3499</v>
      </c>
      <c r="N456" s="0" t="n">
        <v>1</v>
      </c>
      <c r="O456" s="0" t="s">
        <v>54</v>
      </c>
      <c r="P456" s="0" t="n">
        <v>6</v>
      </c>
      <c r="Q456" s="5" t="n">
        <v>0</v>
      </c>
      <c r="R456" s="4" t="n">
        <v>45944</v>
      </c>
      <c r="S456" s="0" t="s">
        <v>403</v>
      </c>
      <c r="T456" s="0" t="n">
        <f aca="false">R456-J456</f>
        <v>6</v>
      </c>
      <c r="U456" s="5" t="n">
        <f aca="false">M456*N456</f>
        <v>3499</v>
      </c>
      <c r="V456" s="6" t="n">
        <f aca="false">IF(O456="FLAT5",5%,IF(O456="FLAT10",10%,IF(O456="FLAT15",15%,IF(O456="FLAT20",20%,0))))</f>
        <v>0</v>
      </c>
      <c r="W456" s="5" t="n">
        <f aca="false">U456*(1-V456)</f>
        <v>3499</v>
      </c>
      <c r="X456" s="5" t="n">
        <f aca="false">W456+IF(O456="DEL0",0,Q456)</f>
        <v>3499</v>
      </c>
      <c r="Y456" s="0" t="str">
        <f aca="false">B456&amp;" "&amp;C456</f>
        <v>Manoj Singh</v>
      </c>
      <c r="Z456" s="0" t="str">
        <f aca="false">IF(T456&lt;P456,"BeforeTime",IF(T456=P456,"Intime","Late"))</f>
        <v>Intime</v>
      </c>
      <c r="AA456" s="0" t="str">
        <f aca="false">TEXT(J456,"mmm")</f>
        <v>Oct</v>
      </c>
      <c r="AB456" s="0" t="e">
        <f aca="false">xlookup(L456,Products!A:A,Products!B:B,"")</f>
        <v>#NAME?</v>
      </c>
    </row>
    <row r="457" customFormat="false" ht="15" hidden="false" customHeight="false" outlineLevel="0" collapsed="false">
      <c r="A457" s="0" t="s">
        <v>786</v>
      </c>
      <c r="B457" s="0" t="s">
        <v>139</v>
      </c>
      <c r="C457" s="0" t="s">
        <v>47</v>
      </c>
      <c r="D457" s="0" t="n">
        <v>30</v>
      </c>
      <c r="E457" s="0" t="s">
        <v>48</v>
      </c>
      <c r="F457" s="0" t="s">
        <v>160</v>
      </c>
      <c r="G457" s="0" t="s">
        <v>2088</v>
      </c>
      <c r="H457" s="0" t="s">
        <v>2089</v>
      </c>
      <c r="I457" s="0" t="s">
        <v>2090</v>
      </c>
      <c r="J457" s="4" t="n">
        <v>45909</v>
      </c>
      <c r="K457" s="0" t="s">
        <v>1607</v>
      </c>
      <c r="L457" s="0" t="s">
        <v>72</v>
      </c>
      <c r="M457" s="5" t="n">
        <v>1299</v>
      </c>
      <c r="N457" s="0" t="n">
        <v>2</v>
      </c>
      <c r="O457" s="0" t="s">
        <v>83</v>
      </c>
      <c r="P457" s="0" t="n">
        <v>5</v>
      </c>
      <c r="Q457" s="5" t="n">
        <v>60</v>
      </c>
      <c r="R457" s="4" t="n">
        <v>45914</v>
      </c>
      <c r="S457" s="0" t="s">
        <v>1162</v>
      </c>
      <c r="T457" s="0" t="n">
        <f aca="false">R457-J457</f>
        <v>5</v>
      </c>
      <c r="U457" s="5" t="n">
        <f aca="false">M457*N457</f>
        <v>2598</v>
      </c>
      <c r="V457" s="6" t="n">
        <f aca="false">IF(O457="FLAT5",5%,IF(O457="FLAT10",10%,IF(O457="FLAT15",15%,IF(O457="FLAT20",20%,0))))</f>
        <v>0.05</v>
      </c>
      <c r="W457" s="5" t="n">
        <f aca="false">U457*(1-V457)</f>
        <v>2468.1</v>
      </c>
      <c r="X457" s="5" t="n">
        <f aca="false">W457+IF(O457="DEL0",0,Q457)</f>
        <v>2528.1</v>
      </c>
      <c r="Y457" s="0" t="str">
        <f aca="false">B457&amp;" "&amp;C457</f>
        <v>Aarav Verma</v>
      </c>
      <c r="Z457" s="0" t="str">
        <f aca="false">IF(T457&lt;P457,"BeforeTime",IF(T457=P457,"Intime","Late"))</f>
        <v>Intime</v>
      </c>
      <c r="AA457" s="0" t="str">
        <f aca="false">TEXT(J457,"mmm")</f>
        <v>Sep</v>
      </c>
      <c r="AB457" s="0" t="e">
        <f aca="false">xlookup(L457,Products!A:A,Products!B:B,"")</f>
        <v>#NAME?</v>
      </c>
    </row>
    <row r="458" customFormat="false" ht="15" hidden="false" customHeight="false" outlineLevel="0" collapsed="false">
      <c r="A458" s="0" t="s">
        <v>943</v>
      </c>
      <c r="B458" s="0" t="s">
        <v>67</v>
      </c>
      <c r="C458" s="0" t="s">
        <v>47</v>
      </c>
      <c r="D458" s="0" t="n">
        <v>51</v>
      </c>
      <c r="E458" s="0" t="s">
        <v>48</v>
      </c>
      <c r="F458" s="0" t="s">
        <v>160</v>
      </c>
      <c r="G458" s="0" t="s">
        <v>2091</v>
      </c>
      <c r="H458" s="0" t="s">
        <v>2013</v>
      </c>
      <c r="I458" s="0" t="s">
        <v>2092</v>
      </c>
      <c r="J458" s="4" t="n">
        <v>45874</v>
      </c>
      <c r="K458" s="0" t="s">
        <v>2093</v>
      </c>
      <c r="L458" s="0" t="s">
        <v>53</v>
      </c>
      <c r="M458" s="5" t="n">
        <v>2499</v>
      </c>
      <c r="N458" s="0" t="n">
        <v>3</v>
      </c>
      <c r="O458" s="0" t="s">
        <v>101</v>
      </c>
      <c r="P458" s="0" t="n">
        <v>2</v>
      </c>
      <c r="Q458" s="5" t="n">
        <v>90</v>
      </c>
      <c r="R458" s="4" t="n">
        <v>45879</v>
      </c>
      <c r="S458" s="0" t="s">
        <v>1479</v>
      </c>
      <c r="T458" s="0" t="n">
        <f aca="false">R458-J458</f>
        <v>5</v>
      </c>
      <c r="U458" s="5" t="n">
        <f aca="false">M458*N458</f>
        <v>7497</v>
      </c>
      <c r="V458" s="6" t="n">
        <f aca="false">IF(O458="FLAT5",5%,IF(O458="FLAT10",10%,IF(O458="FLAT15",15%,IF(O458="FLAT20",20%,0))))</f>
        <v>0.15</v>
      </c>
      <c r="W458" s="5" t="n">
        <f aca="false">U458*(1-V458)</f>
        <v>6372.45</v>
      </c>
      <c r="X458" s="5" t="n">
        <f aca="false">W458+IF(O458="DEL0",0,Q458)</f>
        <v>6462.45</v>
      </c>
      <c r="Y458" s="0" t="str">
        <f aca="false">B458&amp;" "&amp;C458</f>
        <v>Priya Verma</v>
      </c>
      <c r="Z458" s="0" t="str">
        <f aca="false">IF(T458&lt;P458,"BeforeTime",IF(T458=P458,"Intime","Late"))</f>
        <v>Late</v>
      </c>
      <c r="AA458" s="0" t="str">
        <f aca="false">TEXT(J458,"mmm")</f>
        <v>Aug</v>
      </c>
      <c r="AB458" s="0" t="e">
        <f aca="false">xlookup(L458,Products!A:A,Products!B:B,"")</f>
        <v>#NAME?</v>
      </c>
    </row>
    <row r="459" customFormat="false" ht="15" hidden="false" customHeight="false" outlineLevel="0" collapsed="false">
      <c r="A459" s="0" t="s">
        <v>819</v>
      </c>
      <c r="B459" s="0" t="s">
        <v>394</v>
      </c>
      <c r="C459" s="0" t="s">
        <v>123</v>
      </c>
      <c r="D459" s="0" t="n">
        <v>29</v>
      </c>
      <c r="E459" s="0" t="s">
        <v>48</v>
      </c>
      <c r="F459" s="0" t="s">
        <v>77</v>
      </c>
      <c r="G459" s="0" t="s">
        <v>2094</v>
      </c>
      <c r="H459" s="0" t="s">
        <v>1745</v>
      </c>
      <c r="I459" s="0" t="s">
        <v>2095</v>
      </c>
      <c r="J459" s="4" t="n">
        <v>45881</v>
      </c>
      <c r="K459" s="0" t="s">
        <v>1293</v>
      </c>
      <c r="L459" s="0" t="s">
        <v>119</v>
      </c>
      <c r="M459" s="5" t="n">
        <v>899</v>
      </c>
      <c r="N459" s="0" t="n">
        <v>1</v>
      </c>
      <c r="O459" s="0" t="s">
        <v>91</v>
      </c>
      <c r="P459" s="0" t="n">
        <v>2</v>
      </c>
      <c r="Q459" s="5" t="n">
        <v>60</v>
      </c>
      <c r="R459" s="4" t="n">
        <v>45887</v>
      </c>
      <c r="S459" s="0" t="s">
        <v>1438</v>
      </c>
      <c r="T459" s="0" t="n">
        <f aca="false">R459-J459</f>
        <v>6</v>
      </c>
      <c r="U459" s="5" t="n">
        <f aca="false">M459*N459</f>
        <v>899</v>
      </c>
      <c r="V459" s="6" t="n">
        <f aca="false">IF(O459="FLAT5",5%,IF(O459="FLAT10",10%,IF(O459="FLAT15",15%,IF(O459="FLAT20",20%,0))))</f>
        <v>0.1</v>
      </c>
      <c r="W459" s="5" t="n">
        <f aca="false">U459*(1-V459)</f>
        <v>809.1</v>
      </c>
      <c r="X459" s="5" t="n">
        <f aca="false">W459+IF(O459="DEL0",0,Q459)</f>
        <v>869.1</v>
      </c>
      <c r="Y459" s="0" t="str">
        <f aca="false">B459&amp;" "&amp;C459</f>
        <v>Kiran Nair</v>
      </c>
      <c r="Z459" s="0" t="str">
        <f aca="false">IF(T459&lt;P459,"BeforeTime",IF(T459=P459,"Intime","Late"))</f>
        <v>Late</v>
      </c>
      <c r="AA459" s="0" t="str">
        <f aca="false">TEXT(J459,"mmm")</f>
        <v>Aug</v>
      </c>
      <c r="AB459" s="0" t="e">
        <f aca="false">xlookup(L459,Products!A:A,Products!B:B,"")</f>
        <v>#NAME?</v>
      </c>
    </row>
    <row r="460" customFormat="false" ht="15" hidden="false" customHeight="false" outlineLevel="0" collapsed="false">
      <c r="A460" s="0" t="s">
        <v>1632</v>
      </c>
      <c r="B460" s="0" t="s">
        <v>122</v>
      </c>
      <c r="C460" s="0" t="s">
        <v>210</v>
      </c>
      <c r="D460" s="0" t="n">
        <v>55</v>
      </c>
      <c r="E460" s="0" t="s">
        <v>36</v>
      </c>
      <c r="F460" s="0" t="s">
        <v>202</v>
      </c>
      <c r="G460" s="0" t="s">
        <v>2096</v>
      </c>
      <c r="H460" s="0" t="s">
        <v>2097</v>
      </c>
      <c r="I460" s="0" t="s">
        <v>2098</v>
      </c>
      <c r="J460" s="4" t="n">
        <v>45869</v>
      </c>
      <c r="K460" s="0" t="s">
        <v>2099</v>
      </c>
      <c r="L460" s="0" t="s">
        <v>240</v>
      </c>
      <c r="M460" s="5" t="n">
        <v>4999</v>
      </c>
      <c r="N460" s="0" t="n">
        <v>1</v>
      </c>
      <c r="O460" s="0" t="s">
        <v>101</v>
      </c>
      <c r="P460" s="0" t="n">
        <v>2</v>
      </c>
      <c r="Q460" s="5" t="n">
        <v>120</v>
      </c>
      <c r="R460" s="4" t="n">
        <v>45871</v>
      </c>
      <c r="S460" s="0" t="s">
        <v>562</v>
      </c>
      <c r="T460" s="0" t="n">
        <f aca="false">R460-J460</f>
        <v>2</v>
      </c>
      <c r="U460" s="5" t="n">
        <f aca="false">M460*N460</f>
        <v>4999</v>
      </c>
      <c r="V460" s="6" t="n">
        <f aca="false">IF(O460="FLAT5",5%,IF(O460="FLAT10",10%,IF(O460="FLAT15",15%,IF(O460="FLAT20",20%,0))))</f>
        <v>0.15</v>
      </c>
      <c r="W460" s="5" t="n">
        <f aca="false">U460*(1-V460)</f>
        <v>4249.15</v>
      </c>
      <c r="X460" s="5" t="n">
        <f aca="false">W460+IF(O460="DEL0",0,Q460)</f>
        <v>4369.15</v>
      </c>
      <c r="Y460" s="0" t="str">
        <f aca="false">B460&amp;" "&amp;C460</f>
        <v>Meera Reddy</v>
      </c>
      <c r="Z460" s="0" t="str">
        <f aca="false">IF(T460&lt;P460,"BeforeTime",IF(T460=P460,"Intime","Late"))</f>
        <v>Intime</v>
      </c>
      <c r="AA460" s="0" t="str">
        <f aca="false">TEXT(J460,"mmm")</f>
        <v>Jul</v>
      </c>
      <c r="AB460" s="0" t="e">
        <f aca="false">xlookup(L460,Products!A:A,Products!B:B,"")</f>
        <v>#NAME?</v>
      </c>
    </row>
    <row r="461" customFormat="false" ht="15" hidden="false" customHeight="false" outlineLevel="0" collapsed="false">
      <c r="A461" s="0" t="s">
        <v>288</v>
      </c>
      <c r="B461" s="0" t="s">
        <v>269</v>
      </c>
      <c r="C461" s="0" t="s">
        <v>35</v>
      </c>
      <c r="D461" s="0" t="n">
        <v>27</v>
      </c>
      <c r="E461" s="0" t="s">
        <v>48</v>
      </c>
      <c r="F461" s="0" t="s">
        <v>262</v>
      </c>
      <c r="G461" s="0" t="s">
        <v>2100</v>
      </c>
      <c r="H461" s="0" t="s">
        <v>2101</v>
      </c>
      <c r="I461" s="0" t="s">
        <v>2102</v>
      </c>
      <c r="J461" s="4" t="n">
        <v>45871</v>
      </c>
      <c r="K461" s="0" t="s">
        <v>320</v>
      </c>
      <c r="L461" s="0" t="s">
        <v>42</v>
      </c>
      <c r="M461" s="5" t="n">
        <v>2199</v>
      </c>
      <c r="N461" s="0" t="n">
        <v>4</v>
      </c>
      <c r="O461" s="0" t="s">
        <v>83</v>
      </c>
      <c r="P461" s="0" t="n">
        <v>7</v>
      </c>
      <c r="Q461" s="5" t="n">
        <v>90</v>
      </c>
      <c r="R461" s="4" t="n">
        <v>45878</v>
      </c>
      <c r="S461" s="0" t="s">
        <v>1721</v>
      </c>
      <c r="T461" s="0" t="n">
        <f aca="false">R461-J461</f>
        <v>7</v>
      </c>
      <c r="U461" s="5" t="n">
        <f aca="false">M461*N461</f>
        <v>8796</v>
      </c>
      <c r="V461" s="6" t="n">
        <f aca="false">IF(O461="FLAT5",5%,IF(O461="FLAT10",10%,IF(O461="FLAT15",15%,IF(O461="FLAT20",20%,0))))</f>
        <v>0.05</v>
      </c>
      <c r="W461" s="5" t="n">
        <f aca="false">U461*(1-V461)</f>
        <v>8356.2</v>
      </c>
      <c r="X461" s="5" t="n">
        <f aca="false">W461+IF(O461="DEL0",0,Q461)</f>
        <v>8446.2</v>
      </c>
      <c r="Y461" s="0" t="str">
        <f aca="false">B461&amp;" "&amp;C461</f>
        <v>Varun Sharma</v>
      </c>
      <c r="Z461" s="0" t="str">
        <f aca="false">IF(T461&lt;P461,"BeforeTime",IF(T461=P461,"Intime","Late"))</f>
        <v>Intime</v>
      </c>
      <c r="AA461" s="0" t="str">
        <f aca="false">TEXT(J461,"mmm")</f>
        <v>Aug</v>
      </c>
      <c r="AB461" s="0" t="e">
        <f aca="false">xlookup(L461,Products!A:A,Products!B:B,"")</f>
        <v>#NAME?</v>
      </c>
    </row>
    <row r="462" customFormat="false" ht="15" hidden="false" customHeight="false" outlineLevel="0" collapsed="false">
      <c r="A462" s="0" t="s">
        <v>897</v>
      </c>
      <c r="B462" s="0" t="s">
        <v>582</v>
      </c>
      <c r="C462" s="0" t="s">
        <v>47</v>
      </c>
      <c r="D462" s="0" t="n">
        <v>31</v>
      </c>
      <c r="E462" s="0" t="s">
        <v>36</v>
      </c>
      <c r="F462" s="0" t="s">
        <v>124</v>
      </c>
      <c r="G462" s="0" t="s">
        <v>2103</v>
      </c>
      <c r="H462" s="0" t="s">
        <v>1178</v>
      </c>
      <c r="I462" s="0" t="s">
        <v>2104</v>
      </c>
      <c r="J462" s="4" t="n">
        <v>45667</v>
      </c>
      <c r="K462" s="0" t="s">
        <v>1275</v>
      </c>
      <c r="L462" s="0" t="s">
        <v>72</v>
      </c>
      <c r="M462" s="5" t="n">
        <v>1299</v>
      </c>
      <c r="N462" s="0" t="n">
        <v>1</v>
      </c>
      <c r="O462" s="0" t="s">
        <v>101</v>
      </c>
      <c r="P462" s="0" t="n">
        <v>2</v>
      </c>
      <c r="Q462" s="5" t="n">
        <v>40</v>
      </c>
      <c r="R462" s="4" t="n">
        <v>45669</v>
      </c>
      <c r="S462" s="0" t="s">
        <v>2105</v>
      </c>
      <c r="T462" s="0" t="n">
        <f aca="false">R462-J462</f>
        <v>2</v>
      </c>
      <c r="U462" s="5" t="n">
        <f aca="false">M462*N462</f>
        <v>1299</v>
      </c>
      <c r="V462" s="6" t="n">
        <f aca="false">IF(O462="FLAT5",5%,IF(O462="FLAT10",10%,IF(O462="FLAT15",15%,IF(O462="FLAT20",20%,0))))</f>
        <v>0.15</v>
      </c>
      <c r="W462" s="5" t="n">
        <f aca="false">U462*(1-V462)</f>
        <v>1104.15</v>
      </c>
      <c r="X462" s="5" t="n">
        <f aca="false">W462+IF(O462="DEL0",0,Q462)</f>
        <v>1144.15</v>
      </c>
      <c r="Y462" s="0" t="str">
        <f aca="false">B462&amp;" "&amp;C462</f>
        <v>Kavya Verma</v>
      </c>
      <c r="Z462" s="0" t="str">
        <f aca="false">IF(T462&lt;P462,"BeforeTime",IF(T462=P462,"Intime","Late"))</f>
        <v>Intime</v>
      </c>
      <c r="AA462" s="0" t="str">
        <f aca="false">TEXT(J462,"mmm")</f>
        <v>Jan</v>
      </c>
      <c r="AB462" s="0" t="e">
        <f aca="false">xlookup(L462,Products!A:A,Products!B:B,"")</f>
        <v>#NAME?</v>
      </c>
    </row>
    <row r="463" customFormat="false" ht="15" hidden="false" customHeight="false" outlineLevel="0" collapsed="false">
      <c r="A463" s="0" t="s">
        <v>1506</v>
      </c>
      <c r="B463" s="0" t="s">
        <v>104</v>
      </c>
      <c r="C463" s="0" t="s">
        <v>167</v>
      </c>
      <c r="D463" s="0" t="n">
        <v>39</v>
      </c>
      <c r="E463" s="0" t="s">
        <v>48</v>
      </c>
      <c r="F463" s="0" t="s">
        <v>160</v>
      </c>
      <c r="G463" s="0" t="s">
        <v>2106</v>
      </c>
      <c r="H463" s="0" t="s">
        <v>806</v>
      </c>
      <c r="I463" s="0" t="s">
        <v>2107</v>
      </c>
      <c r="J463" s="4" t="n">
        <v>45665</v>
      </c>
      <c r="K463" s="0" t="s">
        <v>304</v>
      </c>
      <c r="L463" s="0" t="s">
        <v>72</v>
      </c>
      <c r="M463" s="5" t="n">
        <v>1299</v>
      </c>
      <c r="N463" s="0" t="n">
        <v>1</v>
      </c>
      <c r="O463" s="0" t="s">
        <v>83</v>
      </c>
      <c r="P463" s="0" t="n">
        <v>3</v>
      </c>
      <c r="Q463" s="5" t="n">
        <v>120</v>
      </c>
      <c r="R463" s="4" t="n">
        <v>45666</v>
      </c>
      <c r="S463" s="0" t="s">
        <v>426</v>
      </c>
      <c r="T463" s="0" t="n">
        <f aca="false">R463-J463</f>
        <v>1</v>
      </c>
      <c r="U463" s="5" t="n">
        <f aca="false">M463*N463</f>
        <v>1299</v>
      </c>
      <c r="V463" s="6" t="n">
        <f aca="false">IF(O463="FLAT5",5%,IF(O463="FLAT10",10%,IF(O463="FLAT15",15%,IF(O463="FLAT20",20%,0))))</f>
        <v>0.05</v>
      </c>
      <c r="W463" s="5" t="n">
        <f aca="false">U463*(1-V463)</f>
        <v>1234.05</v>
      </c>
      <c r="X463" s="5" t="n">
        <f aca="false">W463+IF(O463="DEL0",0,Q463)</f>
        <v>1354.05</v>
      </c>
      <c r="Y463" s="0" t="str">
        <f aca="false">B463&amp;" "&amp;C463</f>
        <v>Keerthi Chowdhury</v>
      </c>
      <c r="Z463" s="0" t="str">
        <f aca="false">IF(T463&lt;P463,"BeforeTime",IF(T463=P463,"Intime","Late"))</f>
        <v>BeforeTime</v>
      </c>
      <c r="AA463" s="0" t="str">
        <f aca="false">TEXT(J463,"mmm")</f>
        <v>Jan</v>
      </c>
      <c r="AB463" s="0" t="e">
        <f aca="false">xlookup(L463,Products!A:A,Products!B:B,"")</f>
        <v>#NAME?</v>
      </c>
    </row>
    <row r="464" customFormat="false" ht="15" hidden="false" customHeight="false" outlineLevel="0" collapsed="false">
      <c r="A464" s="0" t="s">
        <v>839</v>
      </c>
      <c r="B464" s="0" t="s">
        <v>405</v>
      </c>
      <c r="C464" s="0" t="s">
        <v>95</v>
      </c>
      <c r="D464" s="0" t="n">
        <v>54</v>
      </c>
      <c r="E464" s="0" t="s">
        <v>36</v>
      </c>
      <c r="F464" s="0" t="s">
        <v>140</v>
      </c>
      <c r="G464" s="0" t="s">
        <v>2108</v>
      </c>
      <c r="H464" s="0" t="s">
        <v>2109</v>
      </c>
      <c r="I464" s="0" t="s">
        <v>2110</v>
      </c>
      <c r="J464" s="4" t="n">
        <v>45874</v>
      </c>
      <c r="K464" s="0" t="s">
        <v>2111</v>
      </c>
      <c r="L464" s="0" t="s">
        <v>72</v>
      </c>
      <c r="M464" s="5" t="n">
        <v>1299</v>
      </c>
      <c r="N464" s="0" t="n">
        <v>4</v>
      </c>
      <c r="O464" s="0" t="s">
        <v>83</v>
      </c>
      <c r="P464" s="0" t="n">
        <v>2</v>
      </c>
      <c r="Q464" s="5" t="n">
        <v>50</v>
      </c>
      <c r="R464" s="4" t="n">
        <v>45875</v>
      </c>
      <c r="S464" s="0" t="s">
        <v>347</v>
      </c>
      <c r="T464" s="0" t="n">
        <f aca="false">R464-J464</f>
        <v>1</v>
      </c>
      <c r="U464" s="5" t="n">
        <f aca="false">M464*N464</f>
        <v>5196</v>
      </c>
      <c r="V464" s="6" t="n">
        <f aca="false">IF(O464="FLAT5",5%,IF(O464="FLAT10",10%,IF(O464="FLAT15",15%,IF(O464="FLAT20",20%,0))))</f>
        <v>0.05</v>
      </c>
      <c r="W464" s="5" t="n">
        <f aca="false">U464*(1-V464)</f>
        <v>4936.2</v>
      </c>
      <c r="X464" s="5" t="n">
        <f aca="false">W464+IF(O464="DEL0",0,Q464)</f>
        <v>4986.2</v>
      </c>
      <c r="Y464" s="0" t="str">
        <f aca="false">B464&amp;" "&amp;C464</f>
        <v>Sneha Mishra</v>
      </c>
      <c r="Z464" s="0" t="str">
        <f aca="false">IF(T464&lt;P464,"BeforeTime",IF(T464=P464,"Intime","Late"))</f>
        <v>BeforeTime</v>
      </c>
      <c r="AA464" s="0" t="str">
        <f aca="false">TEXT(J464,"mmm")</f>
        <v>Aug</v>
      </c>
      <c r="AB464" s="0" t="e">
        <f aca="false">xlookup(L464,Products!A:A,Products!B:B,"")</f>
        <v>#NAME?</v>
      </c>
    </row>
    <row r="465" customFormat="false" ht="15" hidden="false" customHeight="false" outlineLevel="0" collapsed="false">
      <c r="A465" s="0" t="s">
        <v>235</v>
      </c>
      <c r="B465" s="0" t="s">
        <v>394</v>
      </c>
      <c r="C465" s="0" t="s">
        <v>123</v>
      </c>
      <c r="D465" s="0" t="n">
        <v>32</v>
      </c>
      <c r="E465" s="0" t="s">
        <v>48</v>
      </c>
      <c r="F465" s="0" t="s">
        <v>124</v>
      </c>
      <c r="G465" s="0" t="s">
        <v>2112</v>
      </c>
      <c r="H465" s="0" t="s">
        <v>623</v>
      </c>
      <c r="I465" s="0" t="s">
        <v>2113</v>
      </c>
      <c r="J465" s="4" t="n">
        <v>45710</v>
      </c>
      <c r="K465" s="0" t="s">
        <v>2114</v>
      </c>
      <c r="L465" s="0" t="s">
        <v>136</v>
      </c>
      <c r="M465" s="5" t="n">
        <v>1799</v>
      </c>
      <c r="N465" s="0" t="n">
        <v>1</v>
      </c>
      <c r="O465" s="0" t="s">
        <v>91</v>
      </c>
      <c r="P465" s="0" t="n">
        <v>7</v>
      </c>
      <c r="Q465" s="5" t="n">
        <v>75</v>
      </c>
      <c r="R465" s="4" t="n">
        <v>45721</v>
      </c>
      <c r="S465" s="0" t="s">
        <v>1948</v>
      </c>
      <c r="T465" s="0" t="n">
        <f aca="false">R465-J465</f>
        <v>11</v>
      </c>
      <c r="U465" s="5" t="n">
        <f aca="false">M465*N465</f>
        <v>1799</v>
      </c>
      <c r="V465" s="6" t="n">
        <f aca="false">IF(O465="FLAT5",5%,IF(O465="FLAT10",10%,IF(O465="FLAT15",15%,IF(O465="FLAT20",20%,0))))</f>
        <v>0.1</v>
      </c>
      <c r="W465" s="5" t="n">
        <f aca="false">U465*(1-V465)</f>
        <v>1619.1</v>
      </c>
      <c r="X465" s="5" t="n">
        <f aca="false">W465+IF(O465="DEL0",0,Q465)</f>
        <v>1694.1</v>
      </c>
      <c r="Y465" s="0" t="str">
        <f aca="false">B465&amp;" "&amp;C465</f>
        <v>Kiran Nair</v>
      </c>
      <c r="Z465" s="0" t="str">
        <f aca="false">IF(T465&lt;P465,"BeforeTime",IF(T465=P465,"Intime","Late"))</f>
        <v>Late</v>
      </c>
      <c r="AA465" s="0" t="str">
        <f aca="false">TEXT(J465,"mmm")</f>
        <v>Feb</v>
      </c>
      <c r="AB465" s="0" t="e">
        <f aca="false">xlookup(L465,Products!A:A,Products!B:B,"")</f>
        <v>#NAME?</v>
      </c>
    </row>
    <row r="466" customFormat="false" ht="15" hidden="false" customHeight="false" outlineLevel="0" collapsed="false">
      <c r="A466" s="0" t="s">
        <v>201</v>
      </c>
      <c r="B466" s="0" t="s">
        <v>174</v>
      </c>
      <c r="C466" s="0" t="s">
        <v>167</v>
      </c>
      <c r="D466" s="0" t="n">
        <v>45</v>
      </c>
      <c r="E466" s="0" t="s">
        <v>48</v>
      </c>
      <c r="F466" s="0" t="s">
        <v>77</v>
      </c>
      <c r="G466" s="0" t="s">
        <v>2115</v>
      </c>
      <c r="H466" s="0" t="s">
        <v>224</v>
      </c>
      <c r="I466" s="0" t="s">
        <v>2116</v>
      </c>
      <c r="J466" s="4" t="n">
        <v>45689</v>
      </c>
      <c r="K466" s="0" t="s">
        <v>987</v>
      </c>
      <c r="L466" s="0" t="s">
        <v>64</v>
      </c>
      <c r="M466" s="5" t="n">
        <v>2799</v>
      </c>
      <c r="N466" s="0" t="n">
        <v>4</v>
      </c>
      <c r="O466" s="0" t="s">
        <v>91</v>
      </c>
      <c r="P466" s="0" t="n">
        <v>6</v>
      </c>
      <c r="Q466" s="5" t="n">
        <v>60</v>
      </c>
      <c r="R466" s="4" t="n">
        <v>45694</v>
      </c>
      <c r="S466" s="0" t="s">
        <v>1957</v>
      </c>
      <c r="T466" s="0" t="n">
        <f aca="false">R466-J466</f>
        <v>5</v>
      </c>
      <c r="U466" s="5" t="n">
        <f aca="false">M466*N466</f>
        <v>11196</v>
      </c>
      <c r="V466" s="6" t="n">
        <f aca="false">IF(O466="FLAT5",5%,IF(O466="FLAT10",10%,IF(O466="FLAT15",15%,IF(O466="FLAT20",20%,0))))</f>
        <v>0.1</v>
      </c>
      <c r="W466" s="5" t="n">
        <f aca="false">U466*(1-V466)</f>
        <v>10076.4</v>
      </c>
      <c r="X466" s="5" t="n">
        <f aca="false">W466+IF(O466="DEL0",0,Q466)</f>
        <v>10136.4</v>
      </c>
      <c r="Y466" s="0" t="str">
        <f aca="false">B466&amp;" "&amp;C466</f>
        <v>Ananya Chowdhury</v>
      </c>
      <c r="Z466" s="0" t="str">
        <f aca="false">IF(T466&lt;P466,"BeforeTime",IF(T466=P466,"Intime","Late"))</f>
        <v>BeforeTime</v>
      </c>
      <c r="AA466" s="0" t="str">
        <f aca="false">TEXT(J466,"mmm")</f>
        <v>Feb</v>
      </c>
      <c r="AB466" s="0" t="e">
        <f aca="false">xlookup(L466,Products!A:A,Products!B:B,"")</f>
        <v>#NAME?</v>
      </c>
    </row>
    <row r="467" customFormat="false" ht="15" hidden="false" customHeight="false" outlineLevel="0" collapsed="false">
      <c r="A467" s="0" t="s">
        <v>1837</v>
      </c>
      <c r="B467" s="0" t="s">
        <v>147</v>
      </c>
      <c r="C467" s="0" t="s">
        <v>417</v>
      </c>
      <c r="D467" s="0" t="n">
        <v>48</v>
      </c>
      <c r="E467" s="0" t="s">
        <v>48</v>
      </c>
      <c r="F467" s="0" t="s">
        <v>202</v>
      </c>
      <c r="G467" s="0" t="s">
        <v>2117</v>
      </c>
      <c r="H467" s="0" t="s">
        <v>1403</v>
      </c>
      <c r="I467" s="0" t="s">
        <v>2118</v>
      </c>
      <c r="J467" s="4" t="n">
        <v>45898</v>
      </c>
      <c r="K467" s="0" t="s">
        <v>1899</v>
      </c>
      <c r="L467" s="0" t="s">
        <v>42</v>
      </c>
      <c r="M467" s="5" t="n">
        <v>2199</v>
      </c>
      <c r="N467" s="0" t="n">
        <v>3</v>
      </c>
      <c r="O467" s="0" t="s">
        <v>54</v>
      </c>
      <c r="P467" s="0" t="n">
        <v>4</v>
      </c>
      <c r="Q467" s="5" t="n">
        <v>0</v>
      </c>
      <c r="R467" s="4" t="n">
        <v>45902</v>
      </c>
      <c r="S467" s="0" t="s">
        <v>862</v>
      </c>
      <c r="T467" s="0" t="n">
        <f aca="false">R467-J467</f>
        <v>4</v>
      </c>
      <c r="U467" s="5" t="n">
        <f aca="false">M467*N467</f>
        <v>6597</v>
      </c>
      <c r="V467" s="6" t="n">
        <f aca="false">IF(O467="FLAT5",5%,IF(O467="FLAT10",10%,IF(O467="FLAT15",15%,IF(O467="FLAT20",20%,0))))</f>
        <v>0</v>
      </c>
      <c r="W467" s="5" t="n">
        <f aca="false">U467*(1-V467)</f>
        <v>6597</v>
      </c>
      <c r="X467" s="5" t="n">
        <f aca="false">W467+IF(O467="DEL0",0,Q467)</f>
        <v>6597</v>
      </c>
      <c r="Y467" s="0" t="str">
        <f aca="false">B467&amp;" "&amp;C467</f>
        <v>Pooja Mehta</v>
      </c>
      <c r="Z467" s="0" t="str">
        <f aca="false">IF(T467&lt;P467,"BeforeTime",IF(T467=P467,"Intime","Late"))</f>
        <v>Intime</v>
      </c>
      <c r="AA467" s="0" t="str">
        <f aca="false">TEXT(J467,"mmm")</f>
        <v>Aug</v>
      </c>
      <c r="AB467" s="0" t="e">
        <f aca="false">xlookup(L467,Products!A:A,Products!B:B,"")</f>
        <v>#NAME?</v>
      </c>
    </row>
    <row r="468" customFormat="false" ht="15" hidden="false" customHeight="false" outlineLevel="0" collapsed="false">
      <c r="A468" s="0" t="s">
        <v>327</v>
      </c>
      <c r="B468" s="0" t="s">
        <v>394</v>
      </c>
      <c r="C468" s="0" t="s">
        <v>195</v>
      </c>
      <c r="D468" s="0" t="n">
        <v>38</v>
      </c>
      <c r="E468" s="0" t="s">
        <v>48</v>
      </c>
      <c r="F468" s="0" t="s">
        <v>160</v>
      </c>
      <c r="G468" s="0" t="s">
        <v>2119</v>
      </c>
      <c r="H468" s="0" t="s">
        <v>2120</v>
      </c>
      <c r="I468" s="0" t="s">
        <v>2121</v>
      </c>
      <c r="J468" s="4" t="n">
        <v>45740</v>
      </c>
      <c r="K468" s="0" t="s">
        <v>2122</v>
      </c>
      <c r="L468" s="0" t="s">
        <v>119</v>
      </c>
      <c r="M468" s="5" t="n">
        <v>899</v>
      </c>
      <c r="N468" s="0" t="n">
        <v>3</v>
      </c>
      <c r="O468" s="0" t="s">
        <v>54</v>
      </c>
      <c r="P468" s="0" t="n">
        <v>6</v>
      </c>
      <c r="Q468" s="5" t="n">
        <v>0</v>
      </c>
      <c r="R468" s="4" t="n">
        <v>45746</v>
      </c>
      <c r="S468" s="0" t="s">
        <v>2123</v>
      </c>
      <c r="T468" s="0" t="n">
        <f aca="false">R468-J468</f>
        <v>6</v>
      </c>
      <c r="U468" s="5" t="n">
        <f aca="false">M468*N468</f>
        <v>2697</v>
      </c>
      <c r="V468" s="6" t="n">
        <f aca="false">IF(O468="FLAT5",5%,IF(O468="FLAT10",10%,IF(O468="FLAT15",15%,IF(O468="FLAT20",20%,0))))</f>
        <v>0</v>
      </c>
      <c r="W468" s="5" t="n">
        <f aca="false">U468*(1-V468)</f>
        <v>2697</v>
      </c>
      <c r="X468" s="5" t="n">
        <f aca="false">W468+IF(O468="DEL0",0,Q468)</f>
        <v>2697</v>
      </c>
      <c r="Y468" s="0" t="str">
        <f aca="false">B468&amp;" "&amp;C468</f>
        <v>Kiran Singh</v>
      </c>
      <c r="Z468" s="0" t="str">
        <f aca="false">IF(T468&lt;P468,"BeforeTime",IF(T468=P468,"Intime","Late"))</f>
        <v>Intime</v>
      </c>
      <c r="AA468" s="0" t="str">
        <f aca="false">TEXT(J468,"mmm")</f>
        <v>Mar</v>
      </c>
      <c r="AB468" s="0" t="e">
        <f aca="false">xlookup(L468,Products!A:A,Products!B:B,"")</f>
        <v>#NAME?</v>
      </c>
    </row>
    <row r="469" customFormat="false" ht="15" hidden="false" customHeight="false" outlineLevel="0" collapsed="false">
      <c r="A469" s="0" t="s">
        <v>1188</v>
      </c>
      <c r="B469" s="0" t="s">
        <v>188</v>
      </c>
      <c r="C469" s="0" t="s">
        <v>113</v>
      </c>
      <c r="D469" s="0" t="n">
        <v>58</v>
      </c>
      <c r="E469" s="0" t="s">
        <v>48</v>
      </c>
      <c r="F469" s="0" t="s">
        <v>140</v>
      </c>
      <c r="G469" s="0" t="s">
        <v>2124</v>
      </c>
      <c r="H469" s="0" t="s">
        <v>668</v>
      </c>
      <c r="I469" s="0" t="s">
        <v>2125</v>
      </c>
      <c r="J469" s="4" t="n">
        <v>45765</v>
      </c>
      <c r="K469" s="0" t="s">
        <v>1413</v>
      </c>
      <c r="L469" s="0" t="s">
        <v>136</v>
      </c>
      <c r="M469" s="5" t="n">
        <v>1799</v>
      </c>
      <c r="N469" s="0" t="n">
        <v>4</v>
      </c>
      <c r="O469" s="0" t="s">
        <v>91</v>
      </c>
      <c r="P469" s="0" t="n">
        <v>6</v>
      </c>
      <c r="Q469" s="5" t="n">
        <v>60</v>
      </c>
      <c r="R469" s="4" t="n">
        <v>45766</v>
      </c>
      <c r="S469" s="0" t="s">
        <v>81</v>
      </c>
      <c r="T469" s="0" t="n">
        <f aca="false">R469-J469</f>
        <v>1</v>
      </c>
      <c r="U469" s="5" t="n">
        <f aca="false">M469*N469</f>
        <v>7196</v>
      </c>
      <c r="V469" s="6" t="n">
        <f aca="false">IF(O469="FLAT5",5%,IF(O469="FLAT10",10%,IF(O469="FLAT15",15%,IF(O469="FLAT20",20%,0))))</f>
        <v>0.1</v>
      </c>
      <c r="W469" s="5" t="n">
        <f aca="false">U469*(1-V469)</f>
        <v>6476.4</v>
      </c>
      <c r="X469" s="5" t="n">
        <f aca="false">W469+IF(O469="DEL0",0,Q469)</f>
        <v>6536.4</v>
      </c>
      <c r="Y469" s="0" t="str">
        <f aca="false">B469&amp;" "&amp;C469</f>
        <v>Rohan Rao</v>
      </c>
      <c r="Z469" s="0" t="str">
        <f aca="false">IF(T469&lt;P469,"BeforeTime",IF(T469=P469,"Intime","Late"))</f>
        <v>BeforeTime</v>
      </c>
      <c r="AA469" s="0" t="str">
        <f aca="false">TEXT(J469,"mmm")</f>
        <v>Apr</v>
      </c>
      <c r="AB469" s="0" t="e">
        <f aca="false">xlookup(L469,Products!A:A,Products!B:B,"")</f>
        <v>#NAME?</v>
      </c>
    </row>
    <row r="470" customFormat="false" ht="15" hidden="false" customHeight="false" outlineLevel="0" collapsed="false">
      <c r="A470" s="0" t="s">
        <v>1058</v>
      </c>
      <c r="B470" s="0" t="s">
        <v>269</v>
      </c>
      <c r="C470" s="0" t="s">
        <v>210</v>
      </c>
      <c r="D470" s="0" t="n">
        <v>24</v>
      </c>
      <c r="E470" s="0" t="s">
        <v>48</v>
      </c>
      <c r="F470" s="0" t="s">
        <v>160</v>
      </c>
      <c r="G470" s="0" t="s">
        <v>2126</v>
      </c>
      <c r="H470" s="0" t="s">
        <v>2127</v>
      </c>
      <c r="I470" s="0" t="s">
        <v>2128</v>
      </c>
      <c r="J470" s="4" t="n">
        <v>45772</v>
      </c>
      <c r="K470" s="0" t="s">
        <v>2129</v>
      </c>
      <c r="L470" s="0" t="s">
        <v>129</v>
      </c>
      <c r="M470" s="5" t="n">
        <v>2999</v>
      </c>
      <c r="N470" s="0" t="n">
        <v>2</v>
      </c>
      <c r="O470" s="0" t="s">
        <v>83</v>
      </c>
      <c r="P470" s="0" t="n">
        <v>5</v>
      </c>
      <c r="Q470" s="5" t="n">
        <v>60</v>
      </c>
      <c r="R470" s="4" t="n">
        <v>45777</v>
      </c>
      <c r="S470" s="0" t="s">
        <v>1670</v>
      </c>
      <c r="T470" s="0" t="n">
        <f aca="false">R470-J470</f>
        <v>5</v>
      </c>
      <c r="U470" s="5" t="n">
        <f aca="false">M470*N470</f>
        <v>5998</v>
      </c>
      <c r="V470" s="6" t="n">
        <f aca="false">IF(O470="FLAT5",5%,IF(O470="FLAT10",10%,IF(O470="FLAT15",15%,IF(O470="FLAT20",20%,0))))</f>
        <v>0.05</v>
      </c>
      <c r="W470" s="5" t="n">
        <f aca="false">U470*(1-V470)</f>
        <v>5698.1</v>
      </c>
      <c r="X470" s="5" t="n">
        <f aca="false">W470+IF(O470="DEL0",0,Q470)</f>
        <v>5758.1</v>
      </c>
      <c r="Y470" s="0" t="str">
        <f aca="false">B470&amp;" "&amp;C470</f>
        <v>Varun Reddy</v>
      </c>
      <c r="Z470" s="0" t="str">
        <f aca="false">IF(T470&lt;P470,"BeforeTime",IF(T470=P470,"Intime","Late"))</f>
        <v>Intime</v>
      </c>
      <c r="AA470" s="0" t="str">
        <f aca="false">TEXT(J470,"mmm")</f>
        <v>Apr</v>
      </c>
      <c r="AB470" s="0" t="e">
        <f aca="false">xlookup(L470,Products!A:A,Products!B:B,"")</f>
        <v>#NAME?</v>
      </c>
    </row>
    <row r="471" customFormat="false" ht="15" hidden="false" customHeight="false" outlineLevel="0" collapsed="false">
      <c r="A471" s="0" t="s">
        <v>1837</v>
      </c>
      <c r="B471" s="0" t="s">
        <v>209</v>
      </c>
      <c r="C471" s="0" t="s">
        <v>261</v>
      </c>
      <c r="D471" s="0" t="n">
        <v>23</v>
      </c>
      <c r="E471" s="0" t="s">
        <v>48</v>
      </c>
      <c r="F471" s="0" t="s">
        <v>248</v>
      </c>
      <c r="G471" s="0" t="s">
        <v>2130</v>
      </c>
      <c r="H471" s="0" t="s">
        <v>971</v>
      </c>
      <c r="I471" s="0" t="s">
        <v>2131</v>
      </c>
      <c r="J471" s="4" t="n">
        <v>45970</v>
      </c>
      <c r="K471" s="0" t="s">
        <v>2132</v>
      </c>
      <c r="L471" s="0" t="s">
        <v>129</v>
      </c>
      <c r="M471" s="5" t="n">
        <v>2999</v>
      </c>
      <c r="N471" s="0" t="n">
        <v>1</v>
      </c>
      <c r="O471" s="0" t="s">
        <v>54</v>
      </c>
      <c r="P471" s="0" t="n">
        <v>2</v>
      </c>
      <c r="Q471" s="5" t="n">
        <v>0</v>
      </c>
      <c r="R471" s="4" t="n">
        <v>45973</v>
      </c>
      <c r="S471" s="0" t="s">
        <v>464</v>
      </c>
      <c r="T471" s="0" t="n">
        <f aca="false">R471-J471</f>
        <v>3</v>
      </c>
      <c r="U471" s="5" t="n">
        <f aca="false">M471*N471</f>
        <v>2999</v>
      </c>
      <c r="V471" s="6" t="n">
        <f aca="false">IF(O471="FLAT5",5%,IF(O471="FLAT10",10%,IF(O471="FLAT15",15%,IF(O471="FLAT20",20%,0))))</f>
        <v>0</v>
      </c>
      <c r="W471" s="5" t="n">
        <f aca="false">U471*(1-V471)</f>
        <v>2999</v>
      </c>
      <c r="X471" s="5" t="n">
        <f aca="false">W471+IF(O471="DEL0",0,Q471)</f>
        <v>2999</v>
      </c>
      <c r="Y471" s="0" t="str">
        <f aca="false">B471&amp;" "&amp;C471</f>
        <v>Ishaan Kumar</v>
      </c>
      <c r="Z471" s="0" t="str">
        <f aca="false">IF(T471&lt;P471,"BeforeTime",IF(T471=P471,"Intime","Late"))</f>
        <v>Late</v>
      </c>
      <c r="AA471" s="0" t="str">
        <f aca="false">TEXT(J471,"mmm")</f>
        <v>Nov</v>
      </c>
      <c r="AB471" s="0" t="e">
        <f aca="false">xlookup(L471,Products!A:A,Products!B:B,"")</f>
        <v>#NAME?</v>
      </c>
    </row>
    <row r="472" customFormat="false" ht="15" hidden="false" customHeight="false" outlineLevel="0" collapsed="false">
      <c r="A472" s="0" t="s">
        <v>374</v>
      </c>
      <c r="B472" s="0" t="s">
        <v>67</v>
      </c>
      <c r="C472" s="0" t="s">
        <v>113</v>
      </c>
      <c r="D472" s="0" t="n">
        <v>38</v>
      </c>
      <c r="E472" s="0" t="s">
        <v>48</v>
      </c>
      <c r="F472" s="0" t="s">
        <v>77</v>
      </c>
      <c r="G472" s="0" t="s">
        <v>2133</v>
      </c>
      <c r="H472" s="0" t="s">
        <v>2134</v>
      </c>
      <c r="I472" s="0" t="s">
        <v>2135</v>
      </c>
      <c r="J472" s="4" t="n">
        <v>45844</v>
      </c>
      <c r="K472" s="0" t="s">
        <v>1171</v>
      </c>
      <c r="L472" s="0" t="s">
        <v>53</v>
      </c>
      <c r="M472" s="5" t="n">
        <v>2499</v>
      </c>
      <c r="N472" s="0" t="n">
        <v>1</v>
      </c>
      <c r="O472" s="0" t="s">
        <v>83</v>
      </c>
      <c r="P472" s="0" t="n">
        <v>4</v>
      </c>
      <c r="Q472" s="5" t="n">
        <v>50</v>
      </c>
      <c r="R472" s="4" t="n">
        <v>45849</v>
      </c>
      <c r="S472" s="0" t="s">
        <v>1787</v>
      </c>
      <c r="T472" s="0" t="n">
        <f aca="false">R472-J472</f>
        <v>5</v>
      </c>
      <c r="U472" s="5" t="n">
        <f aca="false">M472*N472</f>
        <v>2499</v>
      </c>
      <c r="V472" s="6" t="n">
        <f aca="false">IF(O472="FLAT5",5%,IF(O472="FLAT10",10%,IF(O472="FLAT15",15%,IF(O472="FLAT20",20%,0))))</f>
        <v>0.05</v>
      </c>
      <c r="W472" s="5" t="n">
        <f aca="false">U472*(1-V472)</f>
        <v>2374.05</v>
      </c>
      <c r="X472" s="5" t="n">
        <f aca="false">W472+IF(O472="DEL0",0,Q472)</f>
        <v>2424.05</v>
      </c>
      <c r="Y472" s="0" t="str">
        <f aca="false">B472&amp;" "&amp;C472</f>
        <v>Priya Rao</v>
      </c>
      <c r="Z472" s="0" t="str">
        <f aca="false">IF(T472&lt;P472,"BeforeTime",IF(T472=P472,"Intime","Late"))</f>
        <v>Late</v>
      </c>
      <c r="AA472" s="0" t="str">
        <f aca="false">TEXT(J472,"mmm")</f>
        <v>Jul</v>
      </c>
      <c r="AB472" s="0" t="e">
        <f aca="false">xlookup(L472,Products!A:A,Products!B:B,"")</f>
        <v>#NAME?</v>
      </c>
    </row>
    <row r="473" customFormat="false" ht="15" hidden="false" customHeight="false" outlineLevel="0" collapsed="false">
      <c r="A473" s="0" t="s">
        <v>875</v>
      </c>
      <c r="B473" s="0" t="s">
        <v>122</v>
      </c>
      <c r="C473" s="0" t="s">
        <v>113</v>
      </c>
      <c r="D473" s="0" t="n">
        <v>25</v>
      </c>
      <c r="E473" s="0" t="s">
        <v>48</v>
      </c>
      <c r="F473" s="0" t="s">
        <v>59</v>
      </c>
      <c r="G473" s="0" t="s">
        <v>2136</v>
      </c>
      <c r="H473" s="0" t="s">
        <v>2137</v>
      </c>
      <c r="I473" s="0" t="s">
        <v>2138</v>
      </c>
      <c r="J473" s="4" t="n">
        <v>45998</v>
      </c>
      <c r="K473" s="0" t="s">
        <v>2139</v>
      </c>
      <c r="L473" s="0" t="s">
        <v>82</v>
      </c>
      <c r="M473" s="5" t="n">
        <v>1199</v>
      </c>
      <c r="N473" s="0" t="n">
        <v>4</v>
      </c>
      <c r="O473" s="0" t="s">
        <v>91</v>
      </c>
      <c r="P473" s="0" t="n">
        <v>3</v>
      </c>
      <c r="Q473" s="5" t="n">
        <v>50</v>
      </c>
      <c r="R473" s="4" t="n">
        <v>46000</v>
      </c>
      <c r="S473" s="0" t="s">
        <v>2140</v>
      </c>
      <c r="T473" s="0" t="n">
        <f aca="false">R473-J473</f>
        <v>2</v>
      </c>
      <c r="U473" s="5" t="n">
        <f aca="false">M473*N473</f>
        <v>4796</v>
      </c>
      <c r="V473" s="6" t="n">
        <f aca="false">IF(O473="FLAT5",5%,IF(O473="FLAT10",10%,IF(O473="FLAT15",15%,IF(O473="FLAT20",20%,0))))</f>
        <v>0.1</v>
      </c>
      <c r="W473" s="5" t="n">
        <f aca="false">U473*(1-V473)</f>
        <v>4316.4</v>
      </c>
      <c r="X473" s="5" t="n">
        <f aca="false">W473+IF(O473="DEL0",0,Q473)</f>
        <v>4366.4</v>
      </c>
      <c r="Y473" s="0" t="str">
        <f aca="false">B473&amp;" "&amp;C473</f>
        <v>Meera Rao</v>
      </c>
      <c r="Z473" s="0" t="str">
        <f aca="false">IF(T473&lt;P473,"BeforeTime",IF(T473=P473,"Intime","Late"))</f>
        <v>BeforeTime</v>
      </c>
      <c r="AA473" s="0" t="str">
        <f aca="false">TEXT(J473,"mmm")</f>
        <v>Dec</v>
      </c>
      <c r="AB473" s="0" t="e">
        <f aca="false">xlookup(L473,Products!A:A,Products!B:B,"")</f>
        <v>#NAME?</v>
      </c>
    </row>
    <row r="474" customFormat="false" ht="15" hidden="false" customHeight="false" outlineLevel="0" collapsed="false">
      <c r="A474" s="0" t="s">
        <v>762</v>
      </c>
      <c r="B474" s="0" t="s">
        <v>269</v>
      </c>
      <c r="C474" s="0" t="s">
        <v>417</v>
      </c>
      <c r="D474" s="0" t="n">
        <v>21</v>
      </c>
      <c r="E474" s="0" t="s">
        <v>48</v>
      </c>
      <c r="F474" s="0" t="s">
        <v>262</v>
      </c>
      <c r="G474" s="0" t="s">
        <v>2141</v>
      </c>
      <c r="H474" s="0" t="s">
        <v>468</v>
      </c>
      <c r="I474" s="0" t="s">
        <v>2142</v>
      </c>
      <c r="J474" s="4" t="n">
        <v>45819</v>
      </c>
      <c r="K474" s="0" t="s">
        <v>2143</v>
      </c>
      <c r="L474" s="0" t="s">
        <v>110</v>
      </c>
      <c r="M474" s="5" t="n">
        <v>1499</v>
      </c>
      <c r="N474" s="0" t="n">
        <v>1</v>
      </c>
      <c r="O474" s="0" t="s">
        <v>83</v>
      </c>
      <c r="P474" s="0" t="n">
        <v>5</v>
      </c>
      <c r="Q474" s="5" t="n">
        <v>75</v>
      </c>
      <c r="R474" s="4" t="n">
        <v>45826</v>
      </c>
      <c r="S474" s="0" t="s">
        <v>426</v>
      </c>
      <c r="T474" s="0" t="n">
        <f aca="false">R474-J474</f>
        <v>7</v>
      </c>
      <c r="U474" s="5" t="n">
        <f aca="false">M474*N474</f>
        <v>1499</v>
      </c>
      <c r="V474" s="6" t="n">
        <f aca="false">IF(O474="FLAT5",5%,IF(O474="FLAT10",10%,IF(O474="FLAT15",15%,IF(O474="FLAT20",20%,0))))</f>
        <v>0.05</v>
      </c>
      <c r="W474" s="5" t="n">
        <f aca="false">U474*(1-V474)</f>
        <v>1424.05</v>
      </c>
      <c r="X474" s="5" t="n">
        <f aca="false">W474+IF(O474="DEL0",0,Q474)</f>
        <v>1499.05</v>
      </c>
      <c r="Y474" s="0" t="str">
        <f aca="false">B474&amp;" "&amp;C474</f>
        <v>Varun Mehta</v>
      </c>
      <c r="Z474" s="0" t="str">
        <f aca="false">IF(T474&lt;P474,"BeforeTime",IF(T474=P474,"Intime","Late"))</f>
        <v>Late</v>
      </c>
      <c r="AA474" s="0" t="str">
        <f aca="false">TEXT(J474,"mmm")</f>
        <v>Jun</v>
      </c>
      <c r="AB474" s="0" t="e">
        <f aca="false">xlookup(L474,Products!A:A,Products!B:B,"")</f>
        <v>#NAME?</v>
      </c>
    </row>
    <row r="475" customFormat="false" ht="15" hidden="false" customHeight="false" outlineLevel="0" collapsed="false">
      <c r="A475" s="0" t="s">
        <v>1662</v>
      </c>
      <c r="B475" s="0" t="s">
        <v>94</v>
      </c>
      <c r="C475" s="0" t="s">
        <v>210</v>
      </c>
      <c r="D475" s="0" t="n">
        <v>53</v>
      </c>
      <c r="E475" s="0" t="s">
        <v>48</v>
      </c>
      <c r="F475" s="0" t="s">
        <v>160</v>
      </c>
      <c r="G475" s="0" t="s">
        <v>2144</v>
      </c>
      <c r="H475" s="0" t="s">
        <v>264</v>
      </c>
      <c r="I475" s="0" t="s">
        <v>2145</v>
      </c>
      <c r="J475" s="4" t="n">
        <v>45818</v>
      </c>
      <c r="K475" s="0" t="s">
        <v>655</v>
      </c>
      <c r="L475" s="0" t="s">
        <v>136</v>
      </c>
      <c r="M475" s="5" t="n">
        <v>1799</v>
      </c>
      <c r="N475" s="0" t="n">
        <v>3</v>
      </c>
      <c r="O475" s="0" t="s">
        <v>54</v>
      </c>
      <c r="P475" s="0" t="n">
        <v>4</v>
      </c>
      <c r="Q475" s="5" t="n">
        <v>0</v>
      </c>
      <c r="R475" s="4" t="n">
        <v>45820</v>
      </c>
      <c r="S475" s="0" t="s">
        <v>988</v>
      </c>
      <c r="T475" s="0" t="n">
        <f aca="false">R475-J475</f>
        <v>2</v>
      </c>
      <c r="U475" s="5" t="n">
        <f aca="false">M475*N475</f>
        <v>5397</v>
      </c>
      <c r="V475" s="6" t="n">
        <f aca="false">IF(O475="FLAT5",5%,IF(O475="FLAT10",10%,IF(O475="FLAT15",15%,IF(O475="FLAT20",20%,0))))</f>
        <v>0</v>
      </c>
      <c r="W475" s="5" t="n">
        <f aca="false">U475*(1-V475)</f>
        <v>5397</v>
      </c>
      <c r="X475" s="5" t="n">
        <f aca="false">W475+IF(O475="DEL0",0,Q475)</f>
        <v>5397</v>
      </c>
      <c r="Y475" s="0" t="str">
        <f aca="false">B475&amp;" "&amp;C475</f>
        <v>Manoj Reddy</v>
      </c>
      <c r="Z475" s="0" t="str">
        <f aca="false">IF(T475&lt;P475,"BeforeTime",IF(T475=P475,"Intime","Late"))</f>
        <v>BeforeTime</v>
      </c>
      <c r="AA475" s="0" t="str">
        <f aca="false">TEXT(J475,"mmm")</f>
        <v>Jun</v>
      </c>
      <c r="AB475" s="0" t="e">
        <f aca="false">xlookup(L475,Products!A:A,Products!B:B,"")</f>
        <v>#NAME?</v>
      </c>
    </row>
    <row r="476" customFormat="false" ht="15" hidden="false" customHeight="false" outlineLevel="0" collapsed="false">
      <c r="A476" s="0" t="s">
        <v>1188</v>
      </c>
      <c r="B476" s="0" t="s">
        <v>188</v>
      </c>
      <c r="C476" s="0" t="s">
        <v>105</v>
      </c>
      <c r="D476" s="0" t="n">
        <v>42</v>
      </c>
      <c r="E476" s="0" t="s">
        <v>48</v>
      </c>
      <c r="F476" s="0" t="s">
        <v>37</v>
      </c>
      <c r="G476" s="0" t="s">
        <v>2146</v>
      </c>
      <c r="H476" s="0" t="s">
        <v>142</v>
      </c>
      <c r="I476" s="0" t="s">
        <v>2147</v>
      </c>
      <c r="J476" s="4" t="n">
        <v>45829</v>
      </c>
      <c r="K476" s="0" t="s">
        <v>957</v>
      </c>
      <c r="L476" s="0" t="s">
        <v>72</v>
      </c>
      <c r="M476" s="5" t="n">
        <v>1299</v>
      </c>
      <c r="N476" s="0" t="n">
        <v>1</v>
      </c>
      <c r="O476" s="0" t="s">
        <v>83</v>
      </c>
      <c r="P476" s="0" t="n">
        <v>5</v>
      </c>
      <c r="Q476" s="5" t="n">
        <v>120</v>
      </c>
      <c r="R476" s="4" t="n">
        <v>45834</v>
      </c>
      <c r="S476" s="0" t="s">
        <v>1166</v>
      </c>
      <c r="T476" s="0" t="n">
        <f aca="false">R476-J476</f>
        <v>5</v>
      </c>
      <c r="U476" s="5" t="n">
        <f aca="false">M476*N476</f>
        <v>1299</v>
      </c>
      <c r="V476" s="6" t="n">
        <f aca="false">IF(O476="FLAT5",5%,IF(O476="FLAT10",10%,IF(O476="FLAT15",15%,IF(O476="FLAT20",20%,0))))</f>
        <v>0.05</v>
      </c>
      <c r="W476" s="5" t="n">
        <f aca="false">U476*(1-V476)</f>
        <v>1234.05</v>
      </c>
      <c r="X476" s="5" t="n">
        <f aca="false">W476+IF(O476="DEL0",0,Q476)</f>
        <v>1354.05</v>
      </c>
      <c r="Y476" s="0" t="str">
        <f aca="false">B476&amp;" "&amp;C476</f>
        <v>Rohan Bhat</v>
      </c>
      <c r="Z476" s="0" t="str">
        <f aca="false">IF(T476&lt;P476,"BeforeTime",IF(T476=P476,"Intime","Late"))</f>
        <v>Intime</v>
      </c>
      <c r="AA476" s="0" t="str">
        <f aca="false">TEXT(J476,"mmm")</f>
        <v>Jun</v>
      </c>
      <c r="AB476" s="0" t="e">
        <f aca="false">xlookup(L476,Products!A:A,Products!B:B,"")</f>
        <v>#NAME?</v>
      </c>
    </row>
    <row r="477" customFormat="false" ht="15" hidden="false" customHeight="false" outlineLevel="0" collapsed="false">
      <c r="A477" s="0" t="s">
        <v>288</v>
      </c>
      <c r="B477" s="0" t="s">
        <v>269</v>
      </c>
      <c r="C477" s="0" t="s">
        <v>368</v>
      </c>
      <c r="D477" s="0" t="n">
        <v>53</v>
      </c>
      <c r="E477" s="0" t="s">
        <v>48</v>
      </c>
      <c r="F477" s="0" t="s">
        <v>262</v>
      </c>
      <c r="G477" s="0" t="s">
        <v>2148</v>
      </c>
      <c r="H477" s="0" t="s">
        <v>1436</v>
      </c>
      <c r="I477" s="0" t="s">
        <v>2149</v>
      </c>
      <c r="J477" s="4" t="n">
        <v>45934</v>
      </c>
      <c r="K477" s="0" t="s">
        <v>111</v>
      </c>
      <c r="L477" s="0" t="s">
        <v>110</v>
      </c>
      <c r="M477" s="5" t="n">
        <v>1499</v>
      </c>
      <c r="N477" s="0" t="n">
        <v>1</v>
      </c>
      <c r="O477" s="0" t="s">
        <v>259</v>
      </c>
      <c r="P477" s="0" t="n">
        <v>6</v>
      </c>
      <c r="Q477" s="5" t="n">
        <v>60</v>
      </c>
      <c r="R477" s="4" t="n">
        <v>45940</v>
      </c>
      <c r="S477" s="0" t="s">
        <v>2150</v>
      </c>
      <c r="T477" s="0" t="n">
        <f aca="false">R477-J477</f>
        <v>6</v>
      </c>
      <c r="U477" s="5" t="n">
        <f aca="false">M477*N477</f>
        <v>1499</v>
      </c>
      <c r="V477" s="6" t="n">
        <f aca="false">IF(O477="FLAT5",5%,IF(O477="FLAT10",10%,IF(O477="FLAT15",15%,IF(O477="FLAT20",20%,0))))</f>
        <v>0</v>
      </c>
      <c r="W477" s="5" t="n">
        <f aca="false">U477*(1-V477)</f>
        <v>1499</v>
      </c>
      <c r="X477" s="5" t="n">
        <f aca="false">W477+IF(O477="DEL0",0,Q477)</f>
        <v>1559</v>
      </c>
      <c r="Y477" s="0" t="str">
        <f aca="false">B477&amp;" "&amp;C477</f>
        <v>Varun Das</v>
      </c>
      <c r="Z477" s="0" t="str">
        <f aca="false">IF(T477&lt;P477,"BeforeTime",IF(T477=P477,"Intime","Late"))</f>
        <v>Intime</v>
      </c>
      <c r="AA477" s="0" t="str">
        <f aca="false">TEXT(J477,"mmm")</f>
        <v>Oct</v>
      </c>
      <c r="AB477" s="0" t="e">
        <f aca="false">xlookup(L477,Products!A:A,Products!B:B,"")</f>
        <v>#NAME?</v>
      </c>
    </row>
    <row r="478" customFormat="false" ht="15" hidden="false" customHeight="false" outlineLevel="0" collapsed="false">
      <c r="A478" s="0" t="s">
        <v>187</v>
      </c>
      <c r="B478" s="0" t="s">
        <v>67</v>
      </c>
      <c r="C478" s="0" t="s">
        <v>181</v>
      </c>
      <c r="D478" s="0" t="n">
        <v>52</v>
      </c>
      <c r="E478" s="0" t="s">
        <v>48</v>
      </c>
      <c r="F478" s="0" t="s">
        <v>140</v>
      </c>
      <c r="G478" s="0" t="s">
        <v>2151</v>
      </c>
      <c r="H478" s="0" t="s">
        <v>2152</v>
      </c>
      <c r="I478" s="0" t="s">
        <v>2153</v>
      </c>
      <c r="J478" s="4" t="n">
        <v>45951</v>
      </c>
      <c r="K478" s="0" t="s">
        <v>1884</v>
      </c>
      <c r="L478" s="0" t="s">
        <v>110</v>
      </c>
      <c r="M478" s="5" t="n">
        <v>1499</v>
      </c>
      <c r="N478" s="0" t="n">
        <v>1</v>
      </c>
      <c r="O478" s="0" t="s">
        <v>101</v>
      </c>
      <c r="P478" s="0" t="n">
        <v>7</v>
      </c>
      <c r="Q478" s="5" t="n">
        <v>50</v>
      </c>
      <c r="R478" s="4" t="n">
        <v>45954</v>
      </c>
      <c r="S478" s="0" t="s">
        <v>2154</v>
      </c>
      <c r="T478" s="0" t="n">
        <f aca="false">R478-J478</f>
        <v>3</v>
      </c>
      <c r="U478" s="5" t="n">
        <f aca="false">M478*N478</f>
        <v>1499</v>
      </c>
      <c r="V478" s="6" t="n">
        <f aca="false">IF(O478="FLAT5",5%,IF(O478="FLAT10",10%,IF(O478="FLAT15",15%,IF(O478="FLAT20",20%,0))))</f>
        <v>0.15</v>
      </c>
      <c r="W478" s="5" t="n">
        <f aca="false">U478*(1-V478)</f>
        <v>1274.15</v>
      </c>
      <c r="X478" s="5" t="n">
        <f aca="false">W478+IF(O478="DEL0",0,Q478)</f>
        <v>1324.15</v>
      </c>
      <c r="Y478" s="0" t="str">
        <f aca="false">B478&amp;" "&amp;C478</f>
        <v>Priya Gupta</v>
      </c>
      <c r="Z478" s="0" t="str">
        <f aca="false">IF(T478&lt;P478,"BeforeTime",IF(T478=P478,"Intime","Late"))</f>
        <v>BeforeTime</v>
      </c>
      <c r="AA478" s="0" t="str">
        <f aca="false">TEXT(J478,"mmm")</f>
        <v>Oct</v>
      </c>
      <c r="AB478" s="0" t="e">
        <f aca="false">xlookup(L478,Products!A:A,Products!B:B,"")</f>
        <v>#NAME?</v>
      </c>
    </row>
    <row r="479" customFormat="false" ht="15" hidden="false" customHeight="false" outlineLevel="0" collapsed="false">
      <c r="A479" s="0" t="s">
        <v>74</v>
      </c>
      <c r="B479" s="0" t="s">
        <v>46</v>
      </c>
      <c r="C479" s="0" t="s">
        <v>123</v>
      </c>
      <c r="D479" s="0" t="n">
        <v>42</v>
      </c>
      <c r="E479" s="0" t="s">
        <v>48</v>
      </c>
      <c r="F479" s="0" t="s">
        <v>114</v>
      </c>
      <c r="G479" s="0" t="s">
        <v>2155</v>
      </c>
      <c r="H479" s="0" t="s">
        <v>1520</v>
      </c>
      <c r="I479" s="0" t="s">
        <v>2156</v>
      </c>
      <c r="J479" s="4" t="n">
        <v>45924</v>
      </c>
      <c r="K479" s="0" t="s">
        <v>81</v>
      </c>
      <c r="L479" s="0" t="s">
        <v>119</v>
      </c>
      <c r="M479" s="5" t="n">
        <v>899</v>
      </c>
      <c r="N479" s="0" t="n">
        <v>2</v>
      </c>
      <c r="O479" s="0" t="s">
        <v>54</v>
      </c>
      <c r="P479" s="0" t="n">
        <v>7</v>
      </c>
      <c r="Q479" s="5" t="n">
        <v>0</v>
      </c>
      <c r="R479" s="4" t="n">
        <v>45931</v>
      </c>
      <c r="S479" s="0" t="s">
        <v>933</v>
      </c>
      <c r="T479" s="0" t="n">
        <f aca="false">R479-J479</f>
        <v>7</v>
      </c>
      <c r="U479" s="5" t="n">
        <f aca="false">M479*N479</f>
        <v>1798</v>
      </c>
      <c r="V479" s="6" t="n">
        <f aca="false">IF(O479="FLAT5",5%,IF(O479="FLAT10",10%,IF(O479="FLAT15",15%,IF(O479="FLAT20",20%,0))))</f>
        <v>0</v>
      </c>
      <c r="W479" s="5" t="n">
        <f aca="false">U479*(1-V479)</f>
        <v>1798</v>
      </c>
      <c r="X479" s="5" t="n">
        <f aca="false">W479+IF(O479="DEL0",0,Q479)</f>
        <v>1798</v>
      </c>
      <c r="Y479" s="0" t="str">
        <f aca="false">B479&amp;" "&amp;C479</f>
        <v>Sanjana Nair</v>
      </c>
      <c r="Z479" s="0" t="str">
        <f aca="false">IF(T479&lt;P479,"BeforeTime",IF(T479=P479,"Intime","Late"))</f>
        <v>Intime</v>
      </c>
      <c r="AA479" s="0" t="str">
        <f aca="false">TEXT(J479,"mmm")</f>
        <v>Sep</v>
      </c>
      <c r="AB479" s="0" t="e">
        <f aca="false">xlookup(L479,Products!A:A,Products!B:B,"")</f>
        <v>#NAME?</v>
      </c>
    </row>
    <row r="480" customFormat="false" ht="15" hidden="false" customHeight="false" outlineLevel="0" collapsed="false">
      <c r="A480" s="0" t="s">
        <v>1426</v>
      </c>
      <c r="B480" s="0" t="s">
        <v>34</v>
      </c>
      <c r="C480" s="0" t="s">
        <v>195</v>
      </c>
      <c r="D480" s="0" t="n">
        <v>47</v>
      </c>
      <c r="E480" s="0" t="s">
        <v>48</v>
      </c>
      <c r="F480" s="0" t="s">
        <v>140</v>
      </c>
      <c r="G480" s="0" t="s">
        <v>2157</v>
      </c>
      <c r="H480" s="0" t="s">
        <v>539</v>
      </c>
      <c r="I480" s="0" t="s">
        <v>2158</v>
      </c>
      <c r="J480" s="4" t="n">
        <v>45724</v>
      </c>
      <c r="K480" s="0" t="s">
        <v>732</v>
      </c>
      <c r="L480" s="0" t="s">
        <v>129</v>
      </c>
      <c r="M480" s="5" t="n">
        <v>2999</v>
      </c>
      <c r="N480" s="0" t="n">
        <v>1</v>
      </c>
      <c r="O480" s="0" t="s">
        <v>101</v>
      </c>
      <c r="P480" s="0" t="n">
        <v>5</v>
      </c>
      <c r="Q480" s="5" t="n">
        <v>40</v>
      </c>
      <c r="R480" s="4" t="n">
        <v>45729</v>
      </c>
      <c r="S480" s="0" t="s">
        <v>606</v>
      </c>
      <c r="T480" s="0" t="n">
        <f aca="false">R480-J480</f>
        <v>5</v>
      </c>
      <c r="U480" s="5" t="n">
        <f aca="false">M480*N480</f>
        <v>2999</v>
      </c>
      <c r="V480" s="6" t="n">
        <f aca="false">IF(O480="FLAT5",5%,IF(O480="FLAT10",10%,IF(O480="FLAT15",15%,IF(O480="FLAT20",20%,0))))</f>
        <v>0.15</v>
      </c>
      <c r="W480" s="5" t="n">
        <f aca="false">U480*(1-V480)</f>
        <v>2549.15</v>
      </c>
      <c r="X480" s="5" t="n">
        <f aca="false">W480+IF(O480="DEL0",0,Q480)</f>
        <v>2589.15</v>
      </c>
      <c r="Y480" s="0" t="str">
        <f aca="false">B480&amp;" "&amp;C480</f>
        <v>Diya Singh</v>
      </c>
      <c r="Z480" s="0" t="str">
        <f aca="false">IF(T480&lt;P480,"BeforeTime",IF(T480=P480,"Intime","Late"))</f>
        <v>Intime</v>
      </c>
      <c r="AA480" s="0" t="str">
        <f aca="false">TEXT(J480,"mmm")</f>
        <v>Mar</v>
      </c>
      <c r="AB480" s="0" t="e">
        <f aca="false">xlookup(L480,Products!A:A,Products!B:B,"")</f>
        <v>#NAME?</v>
      </c>
    </row>
    <row r="481" customFormat="false" ht="15" hidden="false" customHeight="false" outlineLevel="0" collapsed="false">
      <c r="A481" s="0" t="s">
        <v>268</v>
      </c>
      <c r="B481" s="0" t="s">
        <v>294</v>
      </c>
      <c r="C481" s="0" t="s">
        <v>181</v>
      </c>
      <c r="D481" s="0" t="n">
        <v>57</v>
      </c>
      <c r="E481" s="0" t="s">
        <v>48</v>
      </c>
      <c r="F481" s="0" t="s">
        <v>160</v>
      </c>
      <c r="G481" s="0" t="s">
        <v>2159</v>
      </c>
      <c r="H481" s="0" t="s">
        <v>429</v>
      </c>
      <c r="I481" s="0" t="s">
        <v>2160</v>
      </c>
      <c r="J481" s="4" t="n">
        <v>45871</v>
      </c>
      <c r="K481" s="0" t="s">
        <v>274</v>
      </c>
      <c r="L481" s="0" t="s">
        <v>53</v>
      </c>
      <c r="M481" s="5" t="n">
        <v>2499</v>
      </c>
      <c r="N481" s="0" t="n">
        <v>4</v>
      </c>
      <c r="O481" s="0" t="s">
        <v>54</v>
      </c>
      <c r="P481" s="0" t="n">
        <v>3</v>
      </c>
      <c r="Q481" s="5" t="n">
        <v>0</v>
      </c>
      <c r="R481" s="4" t="n">
        <v>45872</v>
      </c>
      <c r="S481" s="0" t="s">
        <v>130</v>
      </c>
      <c r="T481" s="0" t="n">
        <f aca="false">R481-J481</f>
        <v>1</v>
      </c>
      <c r="U481" s="5" t="n">
        <f aca="false">M481*N481</f>
        <v>9996</v>
      </c>
      <c r="V481" s="6" t="n">
        <f aca="false">IF(O481="FLAT5",5%,IF(O481="FLAT10",10%,IF(O481="FLAT15",15%,IF(O481="FLAT20",20%,0))))</f>
        <v>0</v>
      </c>
      <c r="W481" s="5" t="n">
        <f aca="false">U481*(1-V481)</f>
        <v>9996</v>
      </c>
      <c r="X481" s="5" t="n">
        <f aca="false">W481+IF(O481="DEL0",0,Q481)</f>
        <v>9996</v>
      </c>
      <c r="Y481" s="0" t="str">
        <f aca="false">B481&amp;" "&amp;C481</f>
        <v>Aditya Gupta</v>
      </c>
      <c r="Z481" s="0" t="str">
        <f aca="false">IF(T481&lt;P481,"BeforeTime",IF(T481=P481,"Intime","Late"))</f>
        <v>BeforeTime</v>
      </c>
      <c r="AA481" s="0" t="str">
        <f aca="false">TEXT(J481,"mmm")</f>
        <v>Aug</v>
      </c>
      <c r="AB481" s="0" t="e">
        <f aca="false">xlookup(L481,Products!A:A,Products!B:B,"")</f>
        <v>#NAME?</v>
      </c>
    </row>
    <row r="482" customFormat="false" ht="15" hidden="false" customHeight="false" outlineLevel="0" collapsed="false">
      <c r="A482" s="0" t="s">
        <v>103</v>
      </c>
      <c r="B482" s="0" t="s">
        <v>269</v>
      </c>
      <c r="C482" s="0" t="s">
        <v>261</v>
      </c>
      <c r="D482" s="0" t="n">
        <v>33</v>
      </c>
      <c r="E482" s="0" t="s">
        <v>48</v>
      </c>
      <c r="F482" s="0" t="s">
        <v>248</v>
      </c>
      <c r="G482" s="0" t="s">
        <v>2161</v>
      </c>
      <c r="H482" s="0" t="s">
        <v>237</v>
      </c>
      <c r="I482" s="0" t="s">
        <v>2162</v>
      </c>
      <c r="J482" s="4" t="n">
        <v>45847</v>
      </c>
      <c r="K482" s="0" t="s">
        <v>1948</v>
      </c>
      <c r="L482" s="0" t="s">
        <v>110</v>
      </c>
      <c r="M482" s="5" t="n">
        <v>1499</v>
      </c>
      <c r="N482" s="0" t="n">
        <v>2</v>
      </c>
      <c r="O482" s="0" t="s">
        <v>259</v>
      </c>
      <c r="P482" s="0" t="n">
        <v>2</v>
      </c>
      <c r="Q482" s="5" t="n">
        <v>75</v>
      </c>
      <c r="R482" s="4" t="n">
        <v>45849</v>
      </c>
      <c r="S482" s="0" t="s">
        <v>2027</v>
      </c>
      <c r="T482" s="0" t="n">
        <f aca="false">R482-J482</f>
        <v>2</v>
      </c>
      <c r="U482" s="5" t="n">
        <f aca="false">M482*N482</f>
        <v>2998</v>
      </c>
      <c r="V482" s="6" t="n">
        <f aca="false">IF(O482="FLAT5",5%,IF(O482="FLAT10",10%,IF(O482="FLAT15",15%,IF(O482="FLAT20",20%,0))))</f>
        <v>0</v>
      </c>
      <c r="W482" s="5" t="n">
        <f aca="false">U482*(1-V482)</f>
        <v>2998</v>
      </c>
      <c r="X482" s="5" t="n">
        <f aca="false">W482+IF(O482="DEL0",0,Q482)</f>
        <v>3073</v>
      </c>
      <c r="Y482" s="0" t="str">
        <f aca="false">B482&amp;" "&amp;C482</f>
        <v>Varun Kumar</v>
      </c>
      <c r="Z482" s="0" t="str">
        <f aca="false">IF(T482&lt;P482,"BeforeTime",IF(T482=P482,"Intime","Late"))</f>
        <v>Intime</v>
      </c>
      <c r="AA482" s="0" t="str">
        <f aca="false">TEXT(J482,"mmm")</f>
        <v>Jul</v>
      </c>
      <c r="AB482" s="0" t="e">
        <f aca="false">xlookup(L482,Products!A:A,Products!B:B,"")</f>
        <v>#NAME?</v>
      </c>
    </row>
    <row r="483" customFormat="false" ht="15" hidden="false" customHeight="false" outlineLevel="0" collapsed="false">
      <c r="A483" s="0" t="s">
        <v>773</v>
      </c>
      <c r="B483" s="0" t="s">
        <v>209</v>
      </c>
      <c r="C483" s="0" t="s">
        <v>261</v>
      </c>
      <c r="D483" s="0" t="n">
        <v>43</v>
      </c>
      <c r="E483" s="0" t="s">
        <v>48</v>
      </c>
      <c r="F483" s="0" t="s">
        <v>59</v>
      </c>
      <c r="G483" s="0" t="s">
        <v>2163</v>
      </c>
      <c r="H483" s="0" t="s">
        <v>554</v>
      </c>
      <c r="I483" s="0" t="s">
        <v>2164</v>
      </c>
      <c r="J483" s="4" t="n">
        <v>45731</v>
      </c>
      <c r="K483" s="0" t="s">
        <v>2123</v>
      </c>
      <c r="L483" s="0" t="s">
        <v>72</v>
      </c>
      <c r="M483" s="5" t="n">
        <v>1299</v>
      </c>
      <c r="N483" s="0" t="n">
        <v>3</v>
      </c>
      <c r="O483" s="0" t="s">
        <v>101</v>
      </c>
      <c r="P483" s="0" t="n">
        <v>3</v>
      </c>
      <c r="Q483" s="5" t="n">
        <v>40</v>
      </c>
      <c r="R483" s="4" t="n">
        <v>45738</v>
      </c>
      <c r="S483" s="0" t="s">
        <v>845</v>
      </c>
      <c r="T483" s="0" t="n">
        <f aca="false">R483-J483</f>
        <v>7</v>
      </c>
      <c r="U483" s="5" t="n">
        <f aca="false">M483*N483</f>
        <v>3897</v>
      </c>
      <c r="V483" s="6" t="n">
        <f aca="false">IF(O483="FLAT5",5%,IF(O483="FLAT10",10%,IF(O483="FLAT15",15%,IF(O483="FLAT20",20%,0))))</f>
        <v>0.15</v>
      </c>
      <c r="W483" s="5" t="n">
        <f aca="false">U483*(1-V483)</f>
        <v>3312.45</v>
      </c>
      <c r="X483" s="5" t="n">
        <f aca="false">W483+IF(O483="DEL0",0,Q483)</f>
        <v>3352.45</v>
      </c>
      <c r="Y483" s="0" t="str">
        <f aca="false">B483&amp;" "&amp;C483</f>
        <v>Ishaan Kumar</v>
      </c>
      <c r="Z483" s="0" t="str">
        <f aca="false">IF(T483&lt;P483,"BeforeTime",IF(T483=P483,"Intime","Late"))</f>
        <v>Late</v>
      </c>
      <c r="AA483" s="0" t="str">
        <f aca="false">TEXT(J483,"mmm")</f>
        <v>Mar</v>
      </c>
      <c r="AB483" s="0" t="e">
        <f aca="false">xlookup(L483,Products!A:A,Products!B:B,"")</f>
        <v>#NAME?</v>
      </c>
    </row>
    <row r="484" customFormat="false" ht="15" hidden="false" customHeight="false" outlineLevel="0" collapsed="false">
      <c r="A484" s="0" t="s">
        <v>1058</v>
      </c>
      <c r="B484" s="0" t="s">
        <v>139</v>
      </c>
      <c r="C484" s="0" t="s">
        <v>261</v>
      </c>
      <c r="D484" s="0" t="n">
        <v>55</v>
      </c>
      <c r="E484" s="0" t="s">
        <v>48</v>
      </c>
      <c r="F484" s="0" t="s">
        <v>140</v>
      </c>
      <c r="G484" s="0" t="s">
        <v>2165</v>
      </c>
      <c r="H484" s="0" t="s">
        <v>1291</v>
      </c>
      <c r="I484" s="0" t="s">
        <v>2166</v>
      </c>
      <c r="J484" s="4" t="n">
        <v>45816</v>
      </c>
      <c r="K484" s="0" t="s">
        <v>2167</v>
      </c>
      <c r="L484" s="0" t="s">
        <v>110</v>
      </c>
      <c r="M484" s="5" t="n">
        <v>1499</v>
      </c>
      <c r="N484" s="0" t="n">
        <v>4</v>
      </c>
      <c r="O484" s="0" t="s">
        <v>101</v>
      </c>
      <c r="P484" s="0" t="n">
        <v>6</v>
      </c>
      <c r="Q484" s="5" t="n">
        <v>60</v>
      </c>
      <c r="R484" s="4" t="n">
        <v>45822</v>
      </c>
      <c r="S484" s="0" t="s">
        <v>1704</v>
      </c>
      <c r="T484" s="0" t="n">
        <f aca="false">R484-J484</f>
        <v>6</v>
      </c>
      <c r="U484" s="5" t="n">
        <f aca="false">M484*N484</f>
        <v>5996</v>
      </c>
      <c r="V484" s="6" t="n">
        <f aca="false">IF(O484="FLAT5",5%,IF(O484="FLAT10",10%,IF(O484="FLAT15",15%,IF(O484="FLAT20",20%,0))))</f>
        <v>0.15</v>
      </c>
      <c r="W484" s="5" t="n">
        <f aca="false">U484*(1-V484)</f>
        <v>5096.6</v>
      </c>
      <c r="X484" s="5" t="n">
        <f aca="false">W484+IF(O484="DEL0",0,Q484)</f>
        <v>5156.6</v>
      </c>
      <c r="Y484" s="0" t="str">
        <f aca="false">B484&amp;" "&amp;C484</f>
        <v>Aarav Kumar</v>
      </c>
      <c r="Z484" s="0" t="str">
        <f aca="false">IF(T484&lt;P484,"BeforeTime",IF(T484=P484,"Intime","Late"))</f>
        <v>Intime</v>
      </c>
      <c r="AA484" s="0" t="str">
        <f aca="false">TEXT(J484,"mmm")</f>
        <v>Jun</v>
      </c>
      <c r="AB484" s="0" t="e">
        <f aca="false">xlookup(L484,Products!A:A,Products!B:B,"")</f>
        <v>#NAME?</v>
      </c>
    </row>
    <row r="485" customFormat="false" ht="15" hidden="false" customHeight="false" outlineLevel="0" collapsed="false">
      <c r="A485" s="0" t="s">
        <v>2168</v>
      </c>
      <c r="B485" s="0" t="s">
        <v>209</v>
      </c>
      <c r="C485" s="0" t="s">
        <v>105</v>
      </c>
      <c r="D485" s="0" t="n">
        <v>48</v>
      </c>
      <c r="E485" s="0" t="s">
        <v>48</v>
      </c>
      <c r="F485" s="0" t="s">
        <v>262</v>
      </c>
      <c r="G485" s="0" t="s">
        <v>2169</v>
      </c>
      <c r="H485" s="0" t="s">
        <v>1073</v>
      </c>
      <c r="I485" s="0" t="s">
        <v>2170</v>
      </c>
      <c r="J485" s="4" t="n">
        <v>45977</v>
      </c>
      <c r="K485" s="0" t="s">
        <v>459</v>
      </c>
      <c r="L485" s="0" t="s">
        <v>82</v>
      </c>
      <c r="M485" s="5" t="n">
        <v>1199</v>
      </c>
      <c r="N485" s="0" t="n">
        <v>3</v>
      </c>
      <c r="O485" s="0" t="s">
        <v>83</v>
      </c>
      <c r="P485" s="0" t="n">
        <v>7</v>
      </c>
      <c r="Q485" s="5" t="n">
        <v>75</v>
      </c>
      <c r="R485" s="4" t="n">
        <v>45984</v>
      </c>
      <c r="S485" s="0" t="s">
        <v>1125</v>
      </c>
      <c r="T485" s="0" t="n">
        <f aca="false">R485-J485</f>
        <v>7</v>
      </c>
      <c r="U485" s="5" t="n">
        <f aca="false">M485*N485</f>
        <v>3597</v>
      </c>
      <c r="V485" s="6" t="n">
        <f aca="false">IF(O485="FLAT5",5%,IF(O485="FLAT10",10%,IF(O485="FLAT15",15%,IF(O485="FLAT20",20%,0))))</f>
        <v>0.05</v>
      </c>
      <c r="W485" s="5" t="n">
        <f aca="false">U485*(1-V485)</f>
        <v>3417.15</v>
      </c>
      <c r="X485" s="5" t="n">
        <f aca="false">W485+IF(O485="DEL0",0,Q485)</f>
        <v>3492.15</v>
      </c>
      <c r="Y485" s="0" t="str">
        <f aca="false">B485&amp;" "&amp;C485</f>
        <v>Ishaan Bhat</v>
      </c>
      <c r="Z485" s="0" t="str">
        <f aca="false">IF(T485&lt;P485,"BeforeTime",IF(T485=P485,"Intime","Late"))</f>
        <v>Intime</v>
      </c>
      <c r="AA485" s="0" t="str">
        <f aca="false">TEXT(J485,"mmm")</f>
        <v>Nov</v>
      </c>
      <c r="AB485" s="0" t="e">
        <f aca="false">xlookup(L485,Products!A:A,Products!B:B,"")</f>
        <v>#NAME?</v>
      </c>
    </row>
    <row r="486" customFormat="false" ht="15" hidden="false" customHeight="false" outlineLevel="0" collapsed="false">
      <c r="A486" s="0" t="s">
        <v>570</v>
      </c>
      <c r="B486" s="0" t="s">
        <v>394</v>
      </c>
      <c r="C486" s="0" t="s">
        <v>181</v>
      </c>
      <c r="D486" s="0" t="n">
        <v>25</v>
      </c>
      <c r="E486" s="0" t="s">
        <v>36</v>
      </c>
      <c r="F486" s="0" t="s">
        <v>202</v>
      </c>
      <c r="G486" s="0" t="s">
        <v>2171</v>
      </c>
      <c r="H486" s="0" t="s">
        <v>691</v>
      </c>
      <c r="I486" s="0" t="s">
        <v>2172</v>
      </c>
      <c r="J486" s="4" t="n">
        <v>45721</v>
      </c>
      <c r="K486" s="0" t="s">
        <v>1212</v>
      </c>
      <c r="L486" s="0" t="s">
        <v>64</v>
      </c>
      <c r="M486" s="5" t="n">
        <v>2799</v>
      </c>
      <c r="N486" s="0" t="n">
        <v>3</v>
      </c>
      <c r="O486" s="0" t="s">
        <v>101</v>
      </c>
      <c r="P486" s="0" t="n">
        <v>7</v>
      </c>
      <c r="Q486" s="5" t="n">
        <v>50</v>
      </c>
      <c r="R486" s="4" t="n">
        <v>45728</v>
      </c>
      <c r="S486" s="0" t="s">
        <v>348</v>
      </c>
      <c r="T486" s="0" t="n">
        <f aca="false">R486-J486</f>
        <v>7</v>
      </c>
      <c r="U486" s="5" t="n">
        <f aca="false">M486*N486</f>
        <v>8397</v>
      </c>
      <c r="V486" s="6" t="n">
        <f aca="false">IF(O486="FLAT5",5%,IF(O486="FLAT10",10%,IF(O486="FLAT15",15%,IF(O486="FLAT20",20%,0))))</f>
        <v>0.15</v>
      </c>
      <c r="W486" s="5" t="n">
        <f aca="false">U486*(1-V486)</f>
        <v>7137.45</v>
      </c>
      <c r="X486" s="5" t="n">
        <f aca="false">W486+IF(O486="DEL0",0,Q486)</f>
        <v>7187.45</v>
      </c>
      <c r="Y486" s="0" t="str">
        <f aca="false">B486&amp;" "&amp;C486</f>
        <v>Kiran Gupta</v>
      </c>
      <c r="Z486" s="0" t="str">
        <f aca="false">IF(T486&lt;P486,"BeforeTime",IF(T486=P486,"Intime","Late"))</f>
        <v>Intime</v>
      </c>
      <c r="AA486" s="0" t="str">
        <f aca="false">TEXT(J486,"mmm")</f>
        <v>Mar</v>
      </c>
      <c r="AB486" s="0" t="e">
        <f aca="false">xlookup(L486,Products!A:A,Products!B:B,"")</f>
        <v>#NAME?</v>
      </c>
    </row>
    <row r="487" customFormat="false" ht="15" hidden="false" customHeight="false" outlineLevel="0" collapsed="false">
      <c r="A487" s="0" t="s">
        <v>1285</v>
      </c>
      <c r="B487" s="0" t="s">
        <v>269</v>
      </c>
      <c r="C487" s="0" t="s">
        <v>47</v>
      </c>
      <c r="D487" s="0" t="n">
        <v>50</v>
      </c>
      <c r="E487" s="0" t="s">
        <v>36</v>
      </c>
      <c r="F487" s="0" t="s">
        <v>140</v>
      </c>
      <c r="G487" s="0" t="s">
        <v>2173</v>
      </c>
      <c r="H487" s="0" t="s">
        <v>169</v>
      </c>
      <c r="I487" s="0" t="s">
        <v>2174</v>
      </c>
      <c r="J487" s="4" t="n">
        <v>45798</v>
      </c>
      <c r="K487" s="0" t="s">
        <v>84</v>
      </c>
      <c r="L487" s="0" t="s">
        <v>119</v>
      </c>
      <c r="M487" s="5" t="n">
        <v>899</v>
      </c>
      <c r="N487" s="0" t="n">
        <v>2</v>
      </c>
      <c r="O487" s="0" t="s">
        <v>259</v>
      </c>
      <c r="P487" s="0" t="n">
        <v>3</v>
      </c>
      <c r="Q487" s="5" t="n">
        <v>120</v>
      </c>
      <c r="R487" s="4" t="n">
        <v>45801</v>
      </c>
      <c r="S487" s="0" t="s">
        <v>1180</v>
      </c>
      <c r="T487" s="0" t="n">
        <f aca="false">R487-J487</f>
        <v>3</v>
      </c>
      <c r="U487" s="5" t="n">
        <f aca="false">M487*N487</f>
        <v>1798</v>
      </c>
      <c r="V487" s="6" t="n">
        <f aca="false">IF(O487="FLAT5",5%,IF(O487="FLAT10",10%,IF(O487="FLAT15",15%,IF(O487="FLAT20",20%,0))))</f>
        <v>0</v>
      </c>
      <c r="W487" s="5" t="n">
        <f aca="false">U487*(1-V487)</f>
        <v>1798</v>
      </c>
      <c r="X487" s="5" t="n">
        <f aca="false">W487+IF(O487="DEL0",0,Q487)</f>
        <v>1918</v>
      </c>
      <c r="Y487" s="0" t="str">
        <f aca="false">B487&amp;" "&amp;C487</f>
        <v>Varun Verma</v>
      </c>
      <c r="Z487" s="0" t="str">
        <f aca="false">IF(T487&lt;P487,"BeforeTime",IF(T487=P487,"Intime","Late"))</f>
        <v>Intime</v>
      </c>
      <c r="AA487" s="0" t="str">
        <f aca="false">TEXT(J487,"mmm")</f>
        <v>May</v>
      </c>
      <c r="AB487" s="0" t="e">
        <f aca="false">xlookup(L487,Products!A:A,Products!B:B,"")</f>
        <v>#NAME?</v>
      </c>
    </row>
    <row r="488" customFormat="false" ht="15" hidden="false" customHeight="false" outlineLevel="0" collapsed="false">
      <c r="A488" s="0" t="s">
        <v>2175</v>
      </c>
      <c r="B488" s="0" t="s">
        <v>86</v>
      </c>
      <c r="C488" s="0" t="s">
        <v>58</v>
      </c>
      <c r="D488" s="0" t="n">
        <v>57</v>
      </c>
      <c r="E488" s="0" t="s">
        <v>36</v>
      </c>
      <c r="F488" s="0" t="s">
        <v>248</v>
      </c>
      <c r="G488" s="0" t="s">
        <v>2176</v>
      </c>
      <c r="H488" s="0" t="s">
        <v>2177</v>
      </c>
      <c r="I488" s="0" t="s">
        <v>2178</v>
      </c>
      <c r="J488" s="4" t="n">
        <v>45870</v>
      </c>
      <c r="K488" s="0" t="s">
        <v>2179</v>
      </c>
      <c r="L488" s="0" t="s">
        <v>110</v>
      </c>
      <c r="M488" s="5" t="n">
        <v>1499</v>
      </c>
      <c r="N488" s="0" t="n">
        <v>3</v>
      </c>
      <c r="O488" s="0" t="s">
        <v>101</v>
      </c>
      <c r="P488" s="0" t="n">
        <v>2</v>
      </c>
      <c r="Q488" s="5" t="n">
        <v>75</v>
      </c>
      <c r="R488" s="4" t="n">
        <v>45875</v>
      </c>
      <c r="S488" s="0" t="s">
        <v>2180</v>
      </c>
      <c r="T488" s="0" t="n">
        <f aca="false">R488-J488</f>
        <v>5</v>
      </c>
      <c r="U488" s="5" t="n">
        <f aca="false">M488*N488</f>
        <v>4497</v>
      </c>
      <c r="V488" s="6" t="n">
        <f aca="false">IF(O488="FLAT5",5%,IF(O488="FLAT10",10%,IF(O488="FLAT15",15%,IF(O488="FLAT20",20%,0))))</f>
        <v>0.15</v>
      </c>
      <c r="W488" s="5" t="n">
        <f aca="false">U488*(1-V488)</f>
        <v>3822.45</v>
      </c>
      <c r="X488" s="5" t="n">
        <f aca="false">W488+IF(O488="DEL0",0,Q488)</f>
        <v>3897.45</v>
      </c>
      <c r="Y488" s="0" t="str">
        <f aca="false">B488&amp;" "&amp;C488</f>
        <v>Rahul Iyer</v>
      </c>
      <c r="Z488" s="0" t="str">
        <f aca="false">IF(T488&lt;P488,"BeforeTime",IF(T488=P488,"Intime","Late"))</f>
        <v>Late</v>
      </c>
      <c r="AA488" s="0" t="str">
        <f aca="false">TEXT(J488,"mmm")</f>
        <v>Aug</v>
      </c>
      <c r="AB488" s="0" t="e">
        <f aca="false">xlookup(L488,Products!A:A,Products!B:B,"")</f>
        <v>#NAME?</v>
      </c>
    </row>
    <row r="489" customFormat="false" ht="15" hidden="false" customHeight="false" outlineLevel="0" collapsed="false">
      <c r="A489" s="0" t="s">
        <v>1208</v>
      </c>
      <c r="B489" s="0" t="s">
        <v>209</v>
      </c>
      <c r="C489" s="0" t="s">
        <v>113</v>
      </c>
      <c r="D489" s="0" t="n">
        <v>36</v>
      </c>
      <c r="E489" s="0" t="s">
        <v>36</v>
      </c>
      <c r="F489" s="0" t="s">
        <v>262</v>
      </c>
      <c r="G489" s="0" t="s">
        <v>2181</v>
      </c>
      <c r="H489" s="0" t="s">
        <v>566</v>
      </c>
      <c r="I489" s="0" t="s">
        <v>2182</v>
      </c>
      <c r="J489" s="4" t="n">
        <v>45688</v>
      </c>
      <c r="K489" s="0" t="s">
        <v>55</v>
      </c>
      <c r="L489" s="0" t="s">
        <v>72</v>
      </c>
      <c r="M489" s="5" t="n">
        <v>1299</v>
      </c>
      <c r="N489" s="0" t="n">
        <v>4</v>
      </c>
      <c r="O489" s="0" t="s">
        <v>43</v>
      </c>
      <c r="P489" s="0" t="n">
        <v>6</v>
      </c>
      <c r="Q489" s="5" t="n">
        <v>40</v>
      </c>
      <c r="R489" s="4" t="n">
        <v>45696</v>
      </c>
      <c r="S489" s="0" t="s">
        <v>517</v>
      </c>
      <c r="T489" s="0" t="n">
        <f aca="false">R489-J489</f>
        <v>8</v>
      </c>
      <c r="U489" s="5" t="n">
        <f aca="false">M489*N489</f>
        <v>5196</v>
      </c>
      <c r="V489" s="6" t="n">
        <f aca="false">IF(O489="FLAT5",5%,IF(O489="FLAT10",10%,IF(O489="FLAT15",15%,IF(O489="FLAT20",20%,0))))</f>
        <v>0.2</v>
      </c>
      <c r="W489" s="5" t="n">
        <f aca="false">U489*(1-V489)</f>
        <v>4156.8</v>
      </c>
      <c r="X489" s="5" t="n">
        <f aca="false">W489+IF(O489="DEL0",0,Q489)</f>
        <v>4196.8</v>
      </c>
      <c r="Y489" s="0" t="str">
        <f aca="false">B489&amp;" "&amp;C489</f>
        <v>Ishaan Rao</v>
      </c>
      <c r="Z489" s="0" t="str">
        <f aca="false">IF(T489&lt;P489,"BeforeTime",IF(T489=P489,"Intime","Late"))</f>
        <v>Late</v>
      </c>
      <c r="AA489" s="0" t="str">
        <f aca="false">TEXT(J489,"mmm")</f>
        <v>Jan</v>
      </c>
      <c r="AB489" s="0" t="e">
        <f aca="false">xlookup(L489,Products!A:A,Products!B:B,"")</f>
        <v>#NAME?</v>
      </c>
    </row>
    <row r="490" customFormat="false" ht="15" hidden="false" customHeight="false" outlineLevel="0" collapsed="false">
      <c r="A490" s="0" t="s">
        <v>1613</v>
      </c>
      <c r="B490" s="0" t="s">
        <v>282</v>
      </c>
      <c r="C490" s="0" t="s">
        <v>229</v>
      </c>
      <c r="D490" s="0" t="n">
        <v>36</v>
      </c>
      <c r="E490" s="0" t="s">
        <v>48</v>
      </c>
      <c r="F490" s="0" t="s">
        <v>140</v>
      </c>
      <c r="G490" s="0" t="s">
        <v>2183</v>
      </c>
      <c r="H490" s="0" t="s">
        <v>2184</v>
      </c>
      <c r="I490" s="0" t="s">
        <v>2185</v>
      </c>
      <c r="J490" s="4" t="n">
        <v>45963</v>
      </c>
      <c r="K490" s="0" t="s">
        <v>1857</v>
      </c>
      <c r="L490" s="0" t="s">
        <v>110</v>
      </c>
      <c r="M490" s="5" t="n">
        <v>1499</v>
      </c>
      <c r="N490" s="0" t="n">
        <v>2</v>
      </c>
      <c r="O490" s="0" t="s">
        <v>91</v>
      </c>
      <c r="P490" s="0" t="n">
        <v>6</v>
      </c>
      <c r="Q490" s="5" t="n">
        <v>90</v>
      </c>
      <c r="R490" s="4" t="n">
        <v>45969</v>
      </c>
      <c r="S490" s="0" t="s">
        <v>615</v>
      </c>
      <c r="T490" s="0" t="n">
        <f aca="false">R490-J490</f>
        <v>6</v>
      </c>
      <c r="U490" s="5" t="n">
        <f aca="false">M490*N490</f>
        <v>2998</v>
      </c>
      <c r="V490" s="6" t="n">
        <f aca="false">IF(O490="FLAT5",5%,IF(O490="FLAT10",10%,IF(O490="FLAT15",15%,IF(O490="FLAT20",20%,0))))</f>
        <v>0.1</v>
      </c>
      <c r="W490" s="5" t="n">
        <f aca="false">U490*(1-V490)</f>
        <v>2698.2</v>
      </c>
      <c r="X490" s="5" t="n">
        <f aca="false">W490+IF(O490="DEL0",0,Q490)</f>
        <v>2788.2</v>
      </c>
      <c r="Y490" s="0" t="str">
        <f aca="false">B490&amp;" "&amp;C490</f>
        <v>Nisha Joshi</v>
      </c>
      <c r="Z490" s="0" t="str">
        <f aca="false">IF(T490&lt;P490,"BeforeTime",IF(T490=P490,"Intime","Late"))</f>
        <v>Intime</v>
      </c>
      <c r="AA490" s="0" t="str">
        <f aca="false">TEXT(J490,"mmm")</f>
        <v>Nov</v>
      </c>
      <c r="AB490" s="0" t="e">
        <f aca="false">xlookup(L490,Products!A:A,Products!B:B,"")</f>
        <v>#NAME?</v>
      </c>
    </row>
    <row r="491" customFormat="false" ht="15" hidden="false" customHeight="false" outlineLevel="0" collapsed="false">
      <c r="A491" s="0" t="s">
        <v>914</v>
      </c>
      <c r="B491" s="0" t="s">
        <v>394</v>
      </c>
      <c r="C491" s="0" t="s">
        <v>95</v>
      </c>
      <c r="D491" s="0" t="n">
        <v>24</v>
      </c>
      <c r="E491" s="0" t="s">
        <v>48</v>
      </c>
      <c r="F491" s="0" t="s">
        <v>202</v>
      </c>
      <c r="G491" s="0" t="s">
        <v>2186</v>
      </c>
      <c r="H491" s="0" t="s">
        <v>1349</v>
      </c>
      <c r="I491" s="0" t="s">
        <v>2187</v>
      </c>
      <c r="J491" s="4" t="n">
        <v>45667</v>
      </c>
      <c r="K491" s="0" t="s">
        <v>214</v>
      </c>
      <c r="L491" s="0" t="s">
        <v>136</v>
      </c>
      <c r="M491" s="5" t="n">
        <v>1799</v>
      </c>
      <c r="N491" s="0" t="n">
        <v>2</v>
      </c>
      <c r="O491" s="0" t="s">
        <v>259</v>
      </c>
      <c r="P491" s="0" t="n">
        <v>4</v>
      </c>
      <c r="Q491" s="5" t="n">
        <v>90</v>
      </c>
      <c r="R491" s="4" t="n">
        <v>45671</v>
      </c>
      <c r="S491" s="0" t="s">
        <v>997</v>
      </c>
      <c r="T491" s="0" t="n">
        <f aca="false">R491-J491</f>
        <v>4</v>
      </c>
      <c r="U491" s="5" t="n">
        <f aca="false">M491*N491</f>
        <v>3598</v>
      </c>
      <c r="V491" s="6" t="n">
        <f aca="false">IF(O491="FLAT5",5%,IF(O491="FLAT10",10%,IF(O491="FLAT15",15%,IF(O491="FLAT20",20%,0))))</f>
        <v>0</v>
      </c>
      <c r="W491" s="5" t="n">
        <f aca="false">U491*(1-V491)</f>
        <v>3598</v>
      </c>
      <c r="X491" s="5" t="n">
        <f aca="false">W491+IF(O491="DEL0",0,Q491)</f>
        <v>3688</v>
      </c>
      <c r="Y491" s="0" t="str">
        <f aca="false">B491&amp;" "&amp;C491</f>
        <v>Kiran Mishra</v>
      </c>
      <c r="Z491" s="0" t="str">
        <f aca="false">IF(T491&lt;P491,"BeforeTime",IF(T491=P491,"Intime","Late"))</f>
        <v>Intime</v>
      </c>
      <c r="AA491" s="0" t="str">
        <f aca="false">TEXT(J491,"mmm")</f>
        <v>Jan</v>
      </c>
      <c r="AB491" s="0" t="e">
        <f aca="false">xlookup(L491,Products!A:A,Products!B:B,"")</f>
        <v>#NAME?</v>
      </c>
    </row>
    <row r="492" customFormat="false" ht="15" hidden="false" customHeight="false" outlineLevel="0" collapsed="false">
      <c r="A492" s="0" t="s">
        <v>897</v>
      </c>
      <c r="B492" s="0" t="s">
        <v>209</v>
      </c>
      <c r="C492" s="0" t="s">
        <v>368</v>
      </c>
      <c r="D492" s="0" t="n">
        <v>56</v>
      </c>
      <c r="E492" s="0" t="s">
        <v>48</v>
      </c>
      <c r="F492" s="0" t="s">
        <v>248</v>
      </c>
      <c r="G492" s="0" t="s">
        <v>2188</v>
      </c>
      <c r="H492" s="0" t="s">
        <v>2189</v>
      </c>
      <c r="I492" s="0" t="s">
        <v>2190</v>
      </c>
      <c r="J492" s="4" t="n">
        <v>45730</v>
      </c>
      <c r="K492" s="0" t="s">
        <v>2191</v>
      </c>
      <c r="L492" s="0" t="s">
        <v>129</v>
      </c>
      <c r="M492" s="5" t="n">
        <v>2999</v>
      </c>
      <c r="N492" s="0" t="n">
        <v>2</v>
      </c>
      <c r="O492" s="0" t="s">
        <v>54</v>
      </c>
      <c r="P492" s="0" t="n">
        <v>4</v>
      </c>
      <c r="Q492" s="5" t="n">
        <v>0</v>
      </c>
      <c r="R492" s="4" t="n">
        <v>45734</v>
      </c>
      <c r="S492" s="0" t="s">
        <v>1743</v>
      </c>
      <c r="T492" s="0" t="n">
        <f aca="false">R492-J492</f>
        <v>4</v>
      </c>
      <c r="U492" s="5" t="n">
        <f aca="false">M492*N492</f>
        <v>5998</v>
      </c>
      <c r="V492" s="6" t="n">
        <f aca="false">IF(O492="FLAT5",5%,IF(O492="FLAT10",10%,IF(O492="FLAT15",15%,IF(O492="FLAT20",20%,0))))</f>
        <v>0</v>
      </c>
      <c r="W492" s="5" t="n">
        <f aca="false">U492*(1-V492)</f>
        <v>5998</v>
      </c>
      <c r="X492" s="5" t="n">
        <f aca="false">W492+IF(O492="DEL0",0,Q492)</f>
        <v>5998</v>
      </c>
      <c r="Y492" s="0" t="str">
        <f aca="false">B492&amp;" "&amp;C492</f>
        <v>Ishaan Das</v>
      </c>
      <c r="Z492" s="0" t="str">
        <f aca="false">IF(T492&lt;P492,"BeforeTime",IF(T492=P492,"Intime","Late"))</f>
        <v>Intime</v>
      </c>
      <c r="AA492" s="0" t="str">
        <f aca="false">TEXT(J492,"mmm")</f>
        <v>Mar</v>
      </c>
      <c r="AB492" s="0" t="e">
        <f aca="false">xlookup(L492,Products!A:A,Products!B:B,"")</f>
        <v>#NAME?</v>
      </c>
    </row>
    <row r="493" customFormat="false" ht="15" hidden="false" customHeight="false" outlineLevel="0" collapsed="false">
      <c r="A493" s="0" t="s">
        <v>834</v>
      </c>
      <c r="B493" s="0" t="s">
        <v>174</v>
      </c>
      <c r="C493" s="0" t="s">
        <v>35</v>
      </c>
      <c r="D493" s="0" t="n">
        <v>49</v>
      </c>
      <c r="E493" s="0" t="s">
        <v>48</v>
      </c>
      <c r="F493" s="0" t="s">
        <v>262</v>
      </c>
      <c r="G493" s="0" t="s">
        <v>2192</v>
      </c>
      <c r="H493" s="0" t="s">
        <v>1013</v>
      </c>
      <c r="I493" s="0" t="s">
        <v>2193</v>
      </c>
      <c r="J493" s="4" t="n">
        <v>45904</v>
      </c>
      <c r="K493" s="0" t="s">
        <v>158</v>
      </c>
      <c r="L493" s="0" t="s">
        <v>110</v>
      </c>
      <c r="M493" s="5" t="n">
        <v>1499</v>
      </c>
      <c r="N493" s="0" t="n">
        <v>1</v>
      </c>
      <c r="O493" s="0" t="s">
        <v>259</v>
      </c>
      <c r="P493" s="0" t="n">
        <v>4</v>
      </c>
      <c r="Q493" s="5" t="n">
        <v>120</v>
      </c>
      <c r="R493" s="4" t="n">
        <v>45908</v>
      </c>
      <c r="S493" s="0" t="s">
        <v>1948</v>
      </c>
      <c r="T493" s="0" t="n">
        <f aca="false">R493-J493</f>
        <v>4</v>
      </c>
      <c r="U493" s="5" t="n">
        <f aca="false">M493*N493</f>
        <v>1499</v>
      </c>
      <c r="V493" s="6" t="n">
        <f aca="false">IF(O493="FLAT5",5%,IF(O493="FLAT10",10%,IF(O493="FLAT15",15%,IF(O493="FLAT20",20%,0))))</f>
        <v>0</v>
      </c>
      <c r="W493" s="5" t="n">
        <f aca="false">U493*(1-V493)</f>
        <v>1499</v>
      </c>
      <c r="X493" s="5" t="n">
        <f aca="false">W493+IF(O493="DEL0",0,Q493)</f>
        <v>1619</v>
      </c>
      <c r="Y493" s="0" t="str">
        <f aca="false">B493&amp;" "&amp;C493</f>
        <v>Ananya Sharma</v>
      </c>
      <c r="Z493" s="0" t="str">
        <f aca="false">IF(T493&lt;P493,"BeforeTime",IF(T493=P493,"Intime","Late"))</f>
        <v>Intime</v>
      </c>
      <c r="AA493" s="0" t="str">
        <f aca="false">TEXT(J493,"mmm")</f>
        <v>Sep</v>
      </c>
      <c r="AB493" s="0" t="e">
        <f aca="false">xlookup(L493,Products!A:A,Products!B:B,"")</f>
        <v>#NAME?</v>
      </c>
    </row>
    <row r="494" customFormat="false" ht="15" hidden="false" customHeight="false" outlineLevel="0" collapsed="false">
      <c r="A494" s="0" t="s">
        <v>2194</v>
      </c>
      <c r="B494" s="0" t="s">
        <v>174</v>
      </c>
      <c r="C494" s="0" t="s">
        <v>113</v>
      </c>
      <c r="D494" s="0" t="n">
        <v>54</v>
      </c>
      <c r="E494" s="0" t="s">
        <v>36</v>
      </c>
      <c r="F494" s="0" t="s">
        <v>114</v>
      </c>
      <c r="G494" s="0" t="s">
        <v>2195</v>
      </c>
      <c r="H494" s="0" t="s">
        <v>1169</v>
      </c>
      <c r="I494" s="0" t="s">
        <v>2196</v>
      </c>
      <c r="J494" s="4" t="n">
        <v>45729</v>
      </c>
      <c r="K494" s="0" t="s">
        <v>2197</v>
      </c>
      <c r="L494" s="0" t="s">
        <v>129</v>
      </c>
      <c r="M494" s="5" t="n">
        <v>2999</v>
      </c>
      <c r="N494" s="0" t="n">
        <v>4</v>
      </c>
      <c r="O494" s="0" t="s">
        <v>54</v>
      </c>
      <c r="P494" s="0" t="n">
        <v>7</v>
      </c>
      <c r="Q494" s="5" t="n">
        <v>0</v>
      </c>
      <c r="R494" s="4" t="n">
        <v>45736</v>
      </c>
      <c r="S494" s="0" t="s">
        <v>120</v>
      </c>
      <c r="T494" s="0" t="n">
        <f aca="false">R494-J494</f>
        <v>7</v>
      </c>
      <c r="U494" s="5" t="n">
        <f aca="false">M494*N494</f>
        <v>11996</v>
      </c>
      <c r="V494" s="6" t="n">
        <f aca="false">IF(O494="FLAT5",5%,IF(O494="FLAT10",10%,IF(O494="FLAT15",15%,IF(O494="FLAT20",20%,0))))</f>
        <v>0</v>
      </c>
      <c r="W494" s="5" t="n">
        <f aca="false">U494*(1-V494)</f>
        <v>11996</v>
      </c>
      <c r="X494" s="5" t="n">
        <f aca="false">W494+IF(O494="DEL0",0,Q494)</f>
        <v>11996</v>
      </c>
      <c r="Y494" s="0" t="str">
        <f aca="false">B494&amp;" "&amp;C494</f>
        <v>Ananya Rao</v>
      </c>
      <c r="Z494" s="0" t="str">
        <f aca="false">IF(T494&lt;P494,"BeforeTime",IF(T494=P494,"Intime","Late"))</f>
        <v>Intime</v>
      </c>
      <c r="AA494" s="0" t="str">
        <f aca="false">TEXT(J494,"mmm")</f>
        <v>Mar</v>
      </c>
      <c r="AB494" s="0" t="e">
        <f aca="false">xlookup(L494,Products!A:A,Products!B:B,"")</f>
        <v>#NAME?</v>
      </c>
    </row>
    <row r="495" customFormat="false" ht="15" hidden="false" customHeight="false" outlineLevel="0" collapsed="false">
      <c r="A495" s="0" t="s">
        <v>475</v>
      </c>
      <c r="B495" s="0" t="s">
        <v>86</v>
      </c>
      <c r="C495" s="0" t="s">
        <v>181</v>
      </c>
      <c r="D495" s="0" t="n">
        <v>48</v>
      </c>
      <c r="E495" s="0" t="s">
        <v>48</v>
      </c>
      <c r="F495" s="0" t="s">
        <v>37</v>
      </c>
      <c r="G495" s="0" t="s">
        <v>2198</v>
      </c>
      <c r="H495" s="0" t="s">
        <v>149</v>
      </c>
      <c r="I495" s="0" t="s">
        <v>2199</v>
      </c>
      <c r="J495" s="4" t="n">
        <v>45893</v>
      </c>
      <c r="K495" s="0" t="s">
        <v>144</v>
      </c>
      <c r="L495" s="0" t="s">
        <v>119</v>
      </c>
      <c r="M495" s="5" t="n">
        <v>899</v>
      </c>
      <c r="N495" s="0" t="n">
        <v>3</v>
      </c>
      <c r="O495" s="0" t="s">
        <v>91</v>
      </c>
      <c r="P495" s="0" t="n">
        <v>6</v>
      </c>
      <c r="Q495" s="5" t="n">
        <v>120</v>
      </c>
      <c r="R495" s="4" t="n">
        <v>45899</v>
      </c>
      <c r="S495" s="0" t="s">
        <v>505</v>
      </c>
      <c r="T495" s="0" t="n">
        <f aca="false">R495-J495</f>
        <v>6</v>
      </c>
      <c r="U495" s="5" t="n">
        <f aca="false">M495*N495</f>
        <v>2697</v>
      </c>
      <c r="V495" s="6" t="n">
        <f aca="false">IF(O495="FLAT5",5%,IF(O495="FLAT10",10%,IF(O495="FLAT15",15%,IF(O495="FLAT20",20%,0))))</f>
        <v>0.1</v>
      </c>
      <c r="W495" s="5" t="n">
        <f aca="false">U495*(1-V495)</f>
        <v>2427.3</v>
      </c>
      <c r="X495" s="5" t="n">
        <f aca="false">W495+IF(O495="DEL0",0,Q495)</f>
        <v>2547.3</v>
      </c>
      <c r="Y495" s="0" t="str">
        <f aca="false">B495&amp;" "&amp;C495</f>
        <v>Rahul Gupta</v>
      </c>
      <c r="Z495" s="0" t="str">
        <f aca="false">IF(T495&lt;P495,"BeforeTime",IF(T495=P495,"Intime","Late"))</f>
        <v>Intime</v>
      </c>
      <c r="AA495" s="0" t="str">
        <f aca="false">TEXT(J495,"mmm")</f>
        <v>Aug</v>
      </c>
      <c r="AB495" s="0" t="e">
        <f aca="false">xlookup(L495,Products!A:A,Products!B:B,"")</f>
        <v>#NAME?</v>
      </c>
    </row>
    <row r="496" customFormat="false" ht="15" hidden="false" customHeight="false" outlineLevel="0" collapsed="false">
      <c r="A496" s="0" t="s">
        <v>2077</v>
      </c>
      <c r="B496" s="0" t="s">
        <v>139</v>
      </c>
      <c r="C496" s="0" t="s">
        <v>113</v>
      </c>
      <c r="D496" s="0" t="n">
        <v>46</v>
      </c>
      <c r="E496" s="0" t="s">
        <v>48</v>
      </c>
      <c r="F496" s="0" t="s">
        <v>160</v>
      </c>
      <c r="G496" s="0" t="s">
        <v>2200</v>
      </c>
      <c r="H496" s="0" t="s">
        <v>2201</v>
      </c>
      <c r="I496" s="0" t="s">
        <v>2202</v>
      </c>
      <c r="J496" s="4" t="n">
        <v>45990</v>
      </c>
      <c r="K496" s="0" t="s">
        <v>2132</v>
      </c>
      <c r="L496" s="0" t="s">
        <v>240</v>
      </c>
      <c r="M496" s="5" t="n">
        <v>4999</v>
      </c>
      <c r="N496" s="0" t="n">
        <v>1</v>
      </c>
      <c r="O496" s="0" t="s">
        <v>54</v>
      </c>
      <c r="P496" s="0" t="n">
        <v>7</v>
      </c>
      <c r="Q496" s="5" t="n">
        <v>0</v>
      </c>
      <c r="R496" s="4" t="n">
        <v>45991</v>
      </c>
      <c r="S496" s="0" t="s">
        <v>1094</v>
      </c>
      <c r="T496" s="0" t="n">
        <f aca="false">R496-J496</f>
        <v>1</v>
      </c>
      <c r="U496" s="5" t="n">
        <f aca="false">M496*N496</f>
        <v>4999</v>
      </c>
      <c r="V496" s="6" t="n">
        <f aca="false">IF(O496="FLAT5",5%,IF(O496="FLAT10",10%,IF(O496="FLAT15",15%,IF(O496="FLAT20",20%,0))))</f>
        <v>0</v>
      </c>
      <c r="W496" s="5" t="n">
        <f aca="false">U496*(1-V496)</f>
        <v>4999</v>
      </c>
      <c r="X496" s="5" t="n">
        <f aca="false">W496+IF(O496="DEL0",0,Q496)</f>
        <v>4999</v>
      </c>
      <c r="Y496" s="0" t="str">
        <f aca="false">B496&amp;" "&amp;C496</f>
        <v>Aarav Rao</v>
      </c>
      <c r="Z496" s="0" t="str">
        <f aca="false">IF(T496&lt;P496,"BeforeTime",IF(T496=P496,"Intime","Late"))</f>
        <v>BeforeTime</v>
      </c>
      <c r="AA496" s="0" t="str">
        <f aca="false">TEXT(J496,"mmm")</f>
        <v>Nov</v>
      </c>
      <c r="AB496" s="0" t="e">
        <f aca="false">xlookup(L496,Products!A:A,Products!B:B,"")</f>
        <v>#NAME?</v>
      </c>
    </row>
    <row r="497" customFormat="false" ht="15" hidden="false" customHeight="false" outlineLevel="0" collapsed="false">
      <c r="A497" s="0" t="s">
        <v>439</v>
      </c>
      <c r="B497" s="0" t="s">
        <v>294</v>
      </c>
      <c r="C497" s="0" t="s">
        <v>417</v>
      </c>
      <c r="D497" s="0" t="n">
        <v>44</v>
      </c>
      <c r="E497" s="0" t="s">
        <v>36</v>
      </c>
      <c r="F497" s="0" t="s">
        <v>202</v>
      </c>
      <c r="G497" s="0" t="s">
        <v>2203</v>
      </c>
      <c r="H497" s="0" t="s">
        <v>1132</v>
      </c>
      <c r="I497" s="0" t="s">
        <v>2204</v>
      </c>
      <c r="J497" s="4" t="n">
        <v>45756</v>
      </c>
      <c r="K497" s="0" t="s">
        <v>2205</v>
      </c>
      <c r="L497" s="0" t="s">
        <v>129</v>
      </c>
      <c r="M497" s="5" t="n">
        <v>2999</v>
      </c>
      <c r="N497" s="0" t="n">
        <v>4</v>
      </c>
      <c r="O497" s="0" t="s">
        <v>91</v>
      </c>
      <c r="P497" s="0" t="n">
        <v>5</v>
      </c>
      <c r="Q497" s="5" t="n">
        <v>60</v>
      </c>
      <c r="R497" s="4" t="n">
        <v>45757</v>
      </c>
      <c r="S497" s="0" t="s">
        <v>1764</v>
      </c>
      <c r="T497" s="0" t="n">
        <f aca="false">R497-J497</f>
        <v>1</v>
      </c>
      <c r="U497" s="5" t="n">
        <f aca="false">M497*N497</f>
        <v>11996</v>
      </c>
      <c r="V497" s="6" t="n">
        <f aca="false">IF(O497="FLAT5",5%,IF(O497="FLAT10",10%,IF(O497="FLAT15",15%,IF(O497="FLAT20",20%,0))))</f>
        <v>0.1</v>
      </c>
      <c r="W497" s="5" t="n">
        <f aca="false">U497*(1-V497)</f>
        <v>10796.4</v>
      </c>
      <c r="X497" s="5" t="n">
        <f aca="false">W497+IF(O497="DEL0",0,Q497)</f>
        <v>10856.4</v>
      </c>
      <c r="Y497" s="0" t="str">
        <f aca="false">B497&amp;" "&amp;C497</f>
        <v>Aditya Mehta</v>
      </c>
      <c r="Z497" s="0" t="str">
        <f aca="false">IF(T497&lt;P497,"BeforeTime",IF(T497=P497,"Intime","Late"))</f>
        <v>BeforeTime</v>
      </c>
      <c r="AA497" s="0" t="str">
        <f aca="false">TEXT(J497,"mmm")</f>
        <v>Apr</v>
      </c>
      <c r="AB497" s="0" t="e">
        <f aca="false">xlookup(L497,Products!A:A,Products!B:B,"")</f>
        <v>#NAME?</v>
      </c>
    </row>
    <row r="498" customFormat="false" ht="15" hidden="false" customHeight="false" outlineLevel="0" collapsed="false">
      <c r="A498" s="0" t="s">
        <v>1972</v>
      </c>
      <c r="B498" s="0" t="s">
        <v>122</v>
      </c>
      <c r="C498" s="0" t="s">
        <v>123</v>
      </c>
      <c r="D498" s="0" t="n">
        <v>34</v>
      </c>
      <c r="E498" s="0" t="s">
        <v>48</v>
      </c>
      <c r="F498" s="0" t="s">
        <v>59</v>
      </c>
      <c r="G498" s="0" t="s">
        <v>2206</v>
      </c>
      <c r="H498" s="0" t="s">
        <v>2207</v>
      </c>
      <c r="I498" s="0" t="s">
        <v>2208</v>
      </c>
      <c r="J498" s="4" t="n">
        <v>46018</v>
      </c>
      <c r="K498" s="0" t="s">
        <v>347</v>
      </c>
      <c r="L498" s="0" t="s">
        <v>110</v>
      </c>
      <c r="M498" s="5" t="n">
        <v>1499</v>
      </c>
      <c r="N498" s="0" t="n">
        <v>3</v>
      </c>
      <c r="O498" s="0" t="s">
        <v>101</v>
      </c>
      <c r="P498" s="0" t="n">
        <v>7</v>
      </c>
      <c r="Q498" s="5" t="n">
        <v>40</v>
      </c>
      <c r="R498" s="4" t="n">
        <v>46025</v>
      </c>
      <c r="S498" s="0" t="s">
        <v>1694</v>
      </c>
      <c r="T498" s="0" t="n">
        <f aca="false">R498-J498</f>
        <v>7</v>
      </c>
      <c r="U498" s="5" t="n">
        <f aca="false">M498*N498</f>
        <v>4497</v>
      </c>
      <c r="V498" s="6" t="n">
        <f aca="false">IF(O498="FLAT5",5%,IF(O498="FLAT10",10%,IF(O498="FLAT15",15%,IF(O498="FLAT20",20%,0))))</f>
        <v>0.15</v>
      </c>
      <c r="W498" s="5" t="n">
        <f aca="false">U498*(1-V498)</f>
        <v>3822.45</v>
      </c>
      <c r="X498" s="5" t="n">
        <f aca="false">W498+IF(O498="DEL0",0,Q498)</f>
        <v>3862.45</v>
      </c>
      <c r="Y498" s="0" t="str">
        <f aca="false">B498&amp;" "&amp;C498</f>
        <v>Meera Nair</v>
      </c>
      <c r="Z498" s="0" t="str">
        <f aca="false">IF(T498&lt;P498,"BeforeTime",IF(T498=P498,"Intime","Late"))</f>
        <v>Intime</v>
      </c>
      <c r="AA498" s="0" t="str">
        <f aca="false">TEXT(J498,"mmm")</f>
        <v>Dec</v>
      </c>
      <c r="AB498" s="0" t="e">
        <f aca="false">xlookup(L498,Products!A:A,Products!B:B,"")</f>
        <v>#NAME?</v>
      </c>
    </row>
    <row r="499" customFormat="false" ht="15" hidden="false" customHeight="false" outlineLevel="0" collapsed="false">
      <c r="A499" s="0" t="s">
        <v>2209</v>
      </c>
      <c r="B499" s="0" t="s">
        <v>269</v>
      </c>
      <c r="C499" s="0" t="s">
        <v>167</v>
      </c>
      <c r="D499" s="0" t="n">
        <v>30</v>
      </c>
      <c r="E499" s="0" t="s">
        <v>36</v>
      </c>
      <c r="F499" s="0" t="s">
        <v>124</v>
      </c>
      <c r="G499" s="0" t="s">
        <v>2210</v>
      </c>
      <c r="H499" s="0" t="s">
        <v>1069</v>
      </c>
      <c r="I499" s="0" t="s">
        <v>2211</v>
      </c>
      <c r="J499" s="4" t="n">
        <v>45723</v>
      </c>
      <c r="K499" s="0" t="s">
        <v>997</v>
      </c>
      <c r="L499" s="0" t="s">
        <v>119</v>
      </c>
      <c r="M499" s="5" t="n">
        <v>899</v>
      </c>
      <c r="N499" s="0" t="n">
        <v>2</v>
      </c>
      <c r="O499" s="0" t="s">
        <v>83</v>
      </c>
      <c r="P499" s="0" t="n">
        <v>7</v>
      </c>
      <c r="Q499" s="5" t="n">
        <v>90</v>
      </c>
      <c r="R499" s="4" t="n">
        <v>45726</v>
      </c>
      <c r="S499" s="0" t="s">
        <v>689</v>
      </c>
      <c r="T499" s="0" t="n">
        <f aca="false">R499-J499</f>
        <v>3</v>
      </c>
      <c r="U499" s="5" t="n">
        <f aca="false">M499*N499</f>
        <v>1798</v>
      </c>
      <c r="V499" s="6" t="n">
        <f aca="false">IF(O499="FLAT5",5%,IF(O499="FLAT10",10%,IF(O499="FLAT15",15%,IF(O499="FLAT20",20%,0))))</f>
        <v>0.05</v>
      </c>
      <c r="W499" s="5" t="n">
        <f aca="false">U499*(1-V499)</f>
        <v>1708.1</v>
      </c>
      <c r="X499" s="5" t="n">
        <f aca="false">W499+IF(O499="DEL0",0,Q499)</f>
        <v>1798.1</v>
      </c>
      <c r="Y499" s="0" t="str">
        <f aca="false">B499&amp;" "&amp;C499</f>
        <v>Varun Chowdhury</v>
      </c>
      <c r="Z499" s="0" t="str">
        <f aca="false">IF(T499&lt;P499,"BeforeTime",IF(T499=P499,"Intime","Late"))</f>
        <v>BeforeTime</v>
      </c>
      <c r="AA499" s="0" t="str">
        <f aca="false">TEXT(J499,"mmm")</f>
        <v>Mar</v>
      </c>
      <c r="AB499" s="0" t="e">
        <f aca="false">xlookup(L499,Products!A:A,Products!B:B,"")</f>
        <v>#NAME?</v>
      </c>
    </row>
    <row r="500" customFormat="false" ht="15" hidden="false" customHeight="false" outlineLevel="0" collapsed="false">
      <c r="A500" s="0" t="s">
        <v>804</v>
      </c>
      <c r="B500" s="0" t="s">
        <v>139</v>
      </c>
      <c r="C500" s="0" t="s">
        <v>181</v>
      </c>
      <c r="D500" s="0" t="n">
        <v>55</v>
      </c>
      <c r="E500" s="0" t="s">
        <v>48</v>
      </c>
      <c r="F500" s="0" t="s">
        <v>202</v>
      </c>
      <c r="G500" s="0" t="s">
        <v>2212</v>
      </c>
      <c r="H500" s="0" t="s">
        <v>2213</v>
      </c>
      <c r="I500" s="0" t="s">
        <v>2214</v>
      </c>
      <c r="J500" s="4" t="n">
        <v>45823</v>
      </c>
      <c r="K500" s="0" t="s">
        <v>2215</v>
      </c>
      <c r="L500" s="0" t="s">
        <v>136</v>
      </c>
      <c r="M500" s="5" t="n">
        <v>1799</v>
      </c>
      <c r="N500" s="0" t="n">
        <v>1</v>
      </c>
      <c r="O500" s="0" t="s">
        <v>54</v>
      </c>
      <c r="P500" s="0" t="n">
        <v>5</v>
      </c>
      <c r="Q500" s="5" t="n">
        <v>0</v>
      </c>
      <c r="R500" s="4" t="n">
        <v>45832</v>
      </c>
      <c r="S500" s="0" t="s">
        <v>1647</v>
      </c>
      <c r="T500" s="0" t="n">
        <f aca="false">R500-J500</f>
        <v>9</v>
      </c>
      <c r="U500" s="5" t="n">
        <f aca="false">M500*N500</f>
        <v>1799</v>
      </c>
      <c r="V500" s="6" t="n">
        <f aca="false">IF(O500="FLAT5",5%,IF(O500="FLAT10",10%,IF(O500="FLAT15",15%,IF(O500="FLAT20",20%,0))))</f>
        <v>0</v>
      </c>
      <c r="W500" s="5" t="n">
        <f aca="false">U500*(1-V500)</f>
        <v>1799</v>
      </c>
      <c r="X500" s="5" t="n">
        <f aca="false">W500+IF(O500="DEL0",0,Q500)</f>
        <v>1799</v>
      </c>
      <c r="Y500" s="0" t="str">
        <f aca="false">B500&amp;" "&amp;C500</f>
        <v>Aarav Gupta</v>
      </c>
      <c r="Z500" s="0" t="str">
        <f aca="false">IF(T500&lt;P500,"BeforeTime",IF(T500=P500,"Intime","Late"))</f>
        <v>Late</v>
      </c>
      <c r="AA500" s="0" t="str">
        <f aca="false">TEXT(J500,"mmm")</f>
        <v>Jun</v>
      </c>
      <c r="AB500" s="0" t="e">
        <f aca="false">xlookup(L500,Products!A:A,Products!B:B,"")</f>
        <v>#NAME?</v>
      </c>
    </row>
    <row r="501" customFormat="false" ht="15" hidden="false" customHeight="false" outlineLevel="0" collapsed="false">
      <c r="A501" s="0" t="s">
        <v>187</v>
      </c>
      <c r="B501" s="0" t="s">
        <v>174</v>
      </c>
      <c r="C501" s="0" t="s">
        <v>123</v>
      </c>
      <c r="D501" s="0" t="n">
        <v>23</v>
      </c>
      <c r="E501" s="0" t="s">
        <v>48</v>
      </c>
      <c r="F501" s="0" t="s">
        <v>160</v>
      </c>
      <c r="G501" s="0" t="s">
        <v>2216</v>
      </c>
      <c r="H501" s="0" t="s">
        <v>1193</v>
      </c>
      <c r="I501" s="0" t="s">
        <v>2217</v>
      </c>
      <c r="J501" s="4" t="n">
        <v>45858</v>
      </c>
      <c r="K501" s="0" t="s">
        <v>2063</v>
      </c>
      <c r="L501" s="0" t="s">
        <v>240</v>
      </c>
      <c r="M501" s="5" t="n">
        <v>4999</v>
      </c>
      <c r="N501" s="0" t="n">
        <v>4</v>
      </c>
      <c r="O501" s="0" t="s">
        <v>91</v>
      </c>
      <c r="P501" s="0" t="n">
        <v>3</v>
      </c>
      <c r="Q501" s="5" t="n">
        <v>90</v>
      </c>
      <c r="R501" s="4" t="n">
        <v>45861</v>
      </c>
      <c r="S501" s="0" t="s">
        <v>1864</v>
      </c>
      <c r="T501" s="0" t="n">
        <f aca="false">R501-J501</f>
        <v>3</v>
      </c>
      <c r="U501" s="5" t="n">
        <f aca="false">M501*N501</f>
        <v>19996</v>
      </c>
      <c r="V501" s="6" t="n">
        <f aca="false">IF(O501="FLAT5",5%,IF(O501="FLAT10",10%,IF(O501="FLAT15",15%,IF(O501="FLAT20",20%,0))))</f>
        <v>0.1</v>
      </c>
      <c r="W501" s="5" t="n">
        <f aca="false">U501*(1-V501)</f>
        <v>17996.4</v>
      </c>
      <c r="X501" s="5" t="n">
        <f aca="false">W501+IF(O501="DEL0",0,Q501)</f>
        <v>18086.4</v>
      </c>
      <c r="Y501" s="0" t="str">
        <f aca="false">B501&amp;" "&amp;C501</f>
        <v>Ananya Nair</v>
      </c>
      <c r="Z501" s="0" t="str">
        <f aca="false">IF(T501&lt;P501,"BeforeTime",IF(T501=P501,"Intime","Late"))</f>
        <v>Intime</v>
      </c>
      <c r="AA501" s="0" t="str">
        <f aca="false">TEXT(J501,"mmm")</f>
        <v>Jul</v>
      </c>
      <c r="AB501" s="0" t="e">
        <f aca="false">xlookup(L501,Products!A:A,Products!B:B,"")</f>
        <v>#NAME?</v>
      </c>
    </row>
    <row r="502" customFormat="false" ht="15" hidden="false" customHeight="false" outlineLevel="0" collapsed="false">
      <c r="A502" s="0" t="s">
        <v>773</v>
      </c>
      <c r="B502" s="0" t="s">
        <v>405</v>
      </c>
      <c r="C502" s="0" t="s">
        <v>47</v>
      </c>
      <c r="D502" s="0" t="n">
        <v>30</v>
      </c>
      <c r="E502" s="0" t="s">
        <v>48</v>
      </c>
      <c r="F502" s="0" t="s">
        <v>114</v>
      </c>
      <c r="G502" s="0" t="s">
        <v>2218</v>
      </c>
      <c r="H502" s="0" t="s">
        <v>333</v>
      </c>
      <c r="I502" s="0" t="s">
        <v>2219</v>
      </c>
      <c r="J502" s="4" t="n">
        <v>45879</v>
      </c>
      <c r="K502" s="0" t="s">
        <v>1313</v>
      </c>
      <c r="L502" s="0" t="s">
        <v>129</v>
      </c>
      <c r="M502" s="5" t="n">
        <v>2999</v>
      </c>
      <c r="N502" s="0" t="n">
        <v>1</v>
      </c>
      <c r="O502" s="0" t="s">
        <v>83</v>
      </c>
      <c r="P502" s="0" t="n">
        <v>2</v>
      </c>
      <c r="Q502" s="5" t="n">
        <v>120</v>
      </c>
      <c r="R502" s="4" t="n">
        <v>45881</v>
      </c>
      <c r="S502" s="0" t="s">
        <v>486</v>
      </c>
      <c r="T502" s="0" t="n">
        <f aca="false">R502-J502</f>
        <v>2</v>
      </c>
      <c r="U502" s="5" t="n">
        <f aca="false">M502*N502</f>
        <v>2999</v>
      </c>
      <c r="V502" s="6" t="n">
        <f aca="false">IF(O502="FLAT5",5%,IF(O502="FLAT10",10%,IF(O502="FLAT15",15%,IF(O502="FLAT20",20%,0))))</f>
        <v>0.05</v>
      </c>
      <c r="W502" s="5" t="n">
        <f aca="false">U502*(1-V502)</f>
        <v>2849.05</v>
      </c>
      <c r="X502" s="5" t="n">
        <f aca="false">W502+IF(O502="DEL0",0,Q502)</f>
        <v>2969.05</v>
      </c>
      <c r="Y502" s="0" t="str">
        <f aca="false">B502&amp;" "&amp;C502</f>
        <v>Sneha Verma</v>
      </c>
      <c r="Z502" s="0" t="str">
        <f aca="false">IF(T502&lt;P502,"BeforeTime",IF(T502=P502,"Intime","Late"))</f>
        <v>Intime</v>
      </c>
      <c r="AA502" s="0" t="str">
        <f aca="false">TEXT(J502,"mmm")</f>
        <v>Aug</v>
      </c>
      <c r="AB502" s="0" t="e">
        <f aca="false">xlookup(L502,Products!A:A,Products!B:B,"")</f>
        <v>#NAME?</v>
      </c>
    </row>
    <row r="503" customFormat="false" ht="15" hidden="false" customHeight="false" outlineLevel="0" collapsed="false">
      <c r="A503" s="0" t="s">
        <v>1347</v>
      </c>
      <c r="B503" s="0" t="s">
        <v>86</v>
      </c>
      <c r="C503" s="0" t="s">
        <v>210</v>
      </c>
      <c r="D503" s="0" t="n">
        <v>41</v>
      </c>
      <c r="E503" s="0" t="s">
        <v>36</v>
      </c>
      <c r="F503" s="0" t="s">
        <v>140</v>
      </c>
      <c r="G503" s="0" t="s">
        <v>2220</v>
      </c>
      <c r="H503" s="0" t="s">
        <v>797</v>
      </c>
      <c r="I503" s="0" t="s">
        <v>2221</v>
      </c>
      <c r="J503" s="4" t="n">
        <v>45978</v>
      </c>
      <c r="K503" s="0" t="s">
        <v>2222</v>
      </c>
      <c r="L503" s="0" t="s">
        <v>64</v>
      </c>
      <c r="M503" s="5" t="n">
        <v>2799</v>
      </c>
      <c r="N503" s="0" t="n">
        <v>4</v>
      </c>
      <c r="O503" s="0" t="s">
        <v>54</v>
      </c>
      <c r="P503" s="0" t="n">
        <v>5</v>
      </c>
      <c r="Q503" s="5" t="n">
        <v>0</v>
      </c>
      <c r="R503" s="4" t="n">
        <v>45983</v>
      </c>
      <c r="S503" s="0" t="s">
        <v>2223</v>
      </c>
      <c r="T503" s="0" t="n">
        <f aca="false">R503-J503</f>
        <v>5</v>
      </c>
      <c r="U503" s="5" t="n">
        <f aca="false">M503*N503</f>
        <v>11196</v>
      </c>
      <c r="V503" s="6" t="n">
        <f aca="false">IF(O503="FLAT5",5%,IF(O503="FLAT10",10%,IF(O503="FLAT15",15%,IF(O503="FLAT20",20%,0))))</f>
        <v>0</v>
      </c>
      <c r="W503" s="5" t="n">
        <f aca="false">U503*(1-V503)</f>
        <v>11196</v>
      </c>
      <c r="X503" s="5" t="n">
        <f aca="false">W503+IF(O503="DEL0",0,Q503)</f>
        <v>11196</v>
      </c>
      <c r="Y503" s="0" t="str">
        <f aca="false">B503&amp;" "&amp;C503</f>
        <v>Rahul Reddy</v>
      </c>
      <c r="Z503" s="0" t="str">
        <f aca="false">IF(T503&lt;P503,"BeforeTime",IF(T503=P503,"Intime","Late"))</f>
        <v>Intime</v>
      </c>
      <c r="AA503" s="0" t="str">
        <f aca="false">TEXT(J503,"mmm")</f>
        <v>Nov</v>
      </c>
      <c r="AB503" s="0" t="e">
        <f aca="false">xlookup(L503,Products!A:A,Products!B:B,"")</f>
        <v>#NAME?</v>
      </c>
    </row>
    <row r="504" customFormat="false" ht="15" hidden="false" customHeight="false" outlineLevel="0" collapsed="false">
      <c r="A504" s="0" t="s">
        <v>235</v>
      </c>
      <c r="B504" s="0" t="s">
        <v>209</v>
      </c>
      <c r="C504" s="0" t="s">
        <v>210</v>
      </c>
      <c r="D504" s="0" t="n">
        <v>48</v>
      </c>
      <c r="E504" s="0" t="s">
        <v>36</v>
      </c>
      <c r="F504" s="0" t="s">
        <v>114</v>
      </c>
      <c r="G504" s="0" t="s">
        <v>2224</v>
      </c>
      <c r="H504" s="0" t="s">
        <v>1291</v>
      </c>
      <c r="I504" s="0" t="s">
        <v>2225</v>
      </c>
      <c r="J504" s="4" t="n">
        <v>46004</v>
      </c>
      <c r="K504" s="0" t="s">
        <v>432</v>
      </c>
      <c r="L504" s="0" t="s">
        <v>64</v>
      </c>
      <c r="M504" s="5" t="n">
        <v>2799</v>
      </c>
      <c r="N504" s="0" t="n">
        <v>4</v>
      </c>
      <c r="O504" s="0" t="s">
        <v>83</v>
      </c>
      <c r="P504" s="0" t="n">
        <v>2</v>
      </c>
      <c r="Q504" s="5" t="n">
        <v>60</v>
      </c>
      <c r="R504" s="4" t="n">
        <v>46006</v>
      </c>
      <c r="S504" s="0" t="s">
        <v>2226</v>
      </c>
      <c r="T504" s="0" t="n">
        <f aca="false">R504-J504</f>
        <v>2</v>
      </c>
      <c r="U504" s="5" t="n">
        <f aca="false">M504*N504</f>
        <v>11196</v>
      </c>
      <c r="V504" s="6" t="n">
        <f aca="false">IF(O504="FLAT5",5%,IF(O504="FLAT10",10%,IF(O504="FLAT15",15%,IF(O504="FLAT20",20%,0))))</f>
        <v>0.05</v>
      </c>
      <c r="W504" s="5" t="n">
        <f aca="false">U504*(1-V504)</f>
        <v>10636.2</v>
      </c>
      <c r="X504" s="5" t="n">
        <f aca="false">W504+IF(O504="DEL0",0,Q504)</f>
        <v>10696.2</v>
      </c>
      <c r="Y504" s="0" t="str">
        <f aca="false">B504&amp;" "&amp;C504</f>
        <v>Ishaan Reddy</v>
      </c>
      <c r="Z504" s="0" t="str">
        <f aca="false">IF(T504&lt;P504,"BeforeTime",IF(T504=P504,"Intime","Late"))</f>
        <v>Intime</v>
      </c>
      <c r="AA504" s="0" t="str">
        <f aca="false">TEXT(J504,"mmm")</f>
        <v>Dec</v>
      </c>
      <c r="AB504" s="0" t="e">
        <f aca="false">xlookup(L504,Products!A:A,Products!B:B,"")</f>
        <v>#NAME?</v>
      </c>
    </row>
    <row r="505" customFormat="false" ht="15" hidden="false" customHeight="false" outlineLevel="0" collapsed="false">
      <c r="A505" s="0" t="s">
        <v>411</v>
      </c>
      <c r="B505" s="0" t="s">
        <v>104</v>
      </c>
      <c r="C505" s="0" t="s">
        <v>35</v>
      </c>
      <c r="D505" s="0" t="n">
        <v>49</v>
      </c>
      <c r="E505" s="0" t="s">
        <v>48</v>
      </c>
      <c r="F505" s="0" t="s">
        <v>248</v>
      </c>
      <c r="G505" s="0" t="s">
        <v>2227</v>
      </c>
      <c r="H505" s="0" t="s">
        <v>806</v>
      </c>
      <c r="I505" s="0" t="s">
        <v>2228</v>
      </c>
      <c r="J505" s="4" t="n">
        <v>46003</v>
      </c>
      <c r="K505" s="0" t="s">
        <v>1271</v>
      </c>
      <c r="L505" s="0" t="s">
        <v>136</v>
      </c>
      <c r="M505" s="5" t="n">
        <v>1799</v>
      </c>
      <c r="N505" s="0" t="n">
        <v>1</v>
      </c>
      <c r="O505" s="0" t="s">
        <v>91</v>
      </c>
      <c r="P505" s="0" t="n">
        <v>2</v>
      </c>
      <c r="Q505" s="5" t="n">
        <v>60</v>
      </c>
      <c r="R505" s="4" t="n">
        <v>46005</v>
      </c>
      <c r="S505" s="0" t="s">
        <v>1333</v>
      </c>
      <c r="T505" s="0" t="n">
        <f aca="false">R505-J505</f>
        <v>2</v>
      </c>
      <c r="U505" s="5" t="n">
        <f aca="false">M505*N505</f>
        <v>1799</v>
      </c>
      <c r="V505" s="6" t="n">
        <f aca="false">IF(O505="FLAT5",5%,IF(O505="FLAT10",10%,IF(O505="FLAT15",15%,IF(O505="FLAT20",20%,0))))</f>
        <v>0.1</v>
      </c>
      <c r="W505" s="5" t="n">
        <f aca="false">U505*(1-V505)</f>
        <v>1619.1</v>
      </c>
      <c r="X505" s="5" t="n">
        <f aca="false">W505+IF(O505="DEL0",0,Q505)</f>
        <v>1679.1</v>
      </c>
      <c r="Y505" s="0" t="str">
        <f aca="false">B505&amp;" "&amp;C505</f>
        <v>Keerthi Sharma</v>
      </c>
      <c r="Z505" s="0" t="str">
        <f aca="false">IF(T505&lt;P505,"BeforeTime",IF(T505=P505,"Intime","Late"))</f>
        <v>Intime</v>
      </c>
      <c r="AA505" s="0" t="str">
        <f aca="false">TEXT(J505,"mmm")</f>
        <v>Dec</v>
      </c>
      <c r="AB505" s="0" t="e">
        <f aca="false">xlookup(L505,Products!A:A,Products!B:B,"")</f>
        <v>#NAME?</v>
      </c>
    </row>
    <row r="506" customFormat="false" ht="15" hidden="false" customHeight="false" outlineLevel="0" collapsed="false">
      <c r="A506" s="0" t="s">
        <v>2017</v>
      </c>
      <c r="B506" s="0" t="s">
        <v>57</v>
      </c>
      <c r="C506" s="0" t="s">
        <v>47</v>
      </c>
      <c r="D506" s="0" t="n">
        <v>56</v>
      </c>
      <c r="E506" s="0" t="s">
        <v>36</v>
      </c>
      <c r="F506" s="0" t="s">
        <v>77</v>
      </c>
      <c r="G506" s="0" t="s">
        <v>2229</v>
      </c>
      <c r="H506" s="0" t="s">
        <v>1400</v>
      </c>
      <c r="I506" s="0" t="s">
        <v>2230</v>
      </c>
      <c r="J506" s="4" t="n">
        <v>45975</v>
      </c>
      <c r="K506" s="0" t="s">
        <v>907</v>
      </c>
      <c r="L506" s="0" t="s">
        <v>72</v>
      </c>
      <c r="M506" s="5" t="n">
        <v>1299</v>
      </c>
      <c r="N506" s="0" t="n">
        <v>3</v>
      </c>
      <c r="O506" s="0" t="s">
        <v>101</v>
      </c>
      <c r="P506" s="0" t="n">
        <v>5</v>
      </c>
      <c r="Q506" s="5" t="n">
        <v>50</v>
      </c>
      <c r="R506" s="4" t="n">
        <v>45980</v>
      </c>
      <c r="S506" s="0" t="s">
        <v>385</v>
      </c>
      <c r="T506" s="0" t="n">
        <f aca="false">R506-J506</f>
        <v>5</v>
      </c>
      <c r="U506" s="5" t="n">
        <f aca="false">M506*N506</f>
        <v>3897</v>
      </c>
      <c r="V506" s="6" t="n">
        <f aca="false">IF(O506="FLAT5",5%,IF(O506="FLAT10",10%,IF(O506="FLAT15",15%,IF(O506="FLAT20",20%,0))))</f>
        <v>0.15</v>
      </c>
      <c r="W506" s="5" t="n">
        <f aca="false">U506*(1-V506)</f>
        <v>3312.45</v>
      </c>
      <c r="X506" s="5" t="n">
        <f aca="false">W506+IF(O506="DEL0",0,Q506)</f>
        <v>3362.45</v>
      </c>
      <c r="Y506" s="0" t="str">
        <f aca="false">B506&amp;" "&amp;C506</f>
        <v>Arjun Verma</v>
      </c>
      <c r="Z506" s="0" t="str">
        <f aca="false">IF(T506&lt;P506,"BeforeTime",IF(T506=P506,"Intime","Late"))</f>
        <v>Intime</v>
      </c>
      <c r="AA506" s="0" t="str">
        <f aca="false">TEXT(J506,"mmm")</f>
        <v>Nov</v>
      </c>
      <c r="AB506" s="0" t="e">
        <f aca="false">xlookup(L506,Products!A:A,Products!B:B,"")</f>
        <v>#NAME?</v>
      </c>
    </row>
    <row r="507" customFormat="false" ht="15" hidden="false" customHeight="false" outlineLevel="0" collapsed="false">
      <c r="A507" s="0" t="s">
        <v>611</v>
      </c>
      <c r="B507" s="0" t="s">
        <v>269</v>
      </c>
      <c r="C507" s="0" t="s">
        <v>417</v>
      </c>
      <c r="D507" s="0" t="n">
        <v>39</v>
      </c>
      <c r="E507" s="0" t="s">
        <v>36</v>
      </c>
      <c r="F507" s="0" t="s">
        <v>262</v>
      </c>
      <c r="G507" s="0" t="s">
        <v>2231</v>
      </c>
      <c r="H507" s="0" t="s">
        <v>2066</v>
      </c>
      <c r="I507" s="0" t="s">
        <v>2232</v>
      </c>
      <c r="J507" s="4" t="n">
        <v>45807</v>
      </c>
      <c r="K507" s="0" t="s">
        <v>2233</v>
      </c>
      <c r="L507" s="0" t="s">
        <v>53</v>
      </c>
      <c r="M507" s="5" t="n">
        <v>2499</v>
      </c>
      <c r="N507" s="0" t="n">
        <v>3</v>
      </c>
      <c r="O507" s="0" t="s">
        <v>43</v>
      </c>
      <c r="P507" s="0" t="n">
        <v>4</v>
      </c>
      <c r="Q507" s="5" t="n">
        <v>40</v>
      </c>
      <c r="R507" s="4" t="n">
        <v>45813</v>
      </c>
      <c r="S507" s="0" t="s">
        <v>1383</v>
      </c>
      <c r="T507" s="0" t="n">
        <f aca="false">R507-J507</f>
        <v>6</v>
      </c>
      <c r="U507" s="5" t="n">
        <f aca="false">M507*N507</f>
        <v>7497</v>
      </c>
      <c r="V507" s="6" t="n">
        <f aca="false">IF(O507="FLAT5",5%,IF(O507="FLAT10",10%,IF(O507="FLAT15",15%,IF(O507="FLAT20",20%,0))))</f>
        <v>0.2</v>
      </c>
      <c r="W507" s="5" t="n">
        <f aca="false">U507*(1-V507)</f>
        <v>5997.6</v>
      </c>
      <c r="X507" s="5" t="n">
        <f aca="false">W507+IF(O507="DEL0",0,Q507)</f>
        <v>6037.6</v>
      </c>
      <c r="Y507" s="0" t="str">
        <f aca="false">B507&amp;" "&amp;C507</f>
        <v>Varun Mehta</v>
      </c>
      <c r="Z507" s="0" t="str">
        <f aca="false">IF(T507&lt;P507,"BeforeTime",IF(T507=P507,"Intime","Late"))</f>
        <v>Late</v>
      </c>
      <c r="AA507" s="0" t="str">
        <f aca="false">TEXT(J507,"mmm")</f>
        <v>May</v>
      </c>
      <c r="AB507" s="0" t="e">
        <f aca="false">xlookup(L507,Products!A:A,Products!B:B,"")</f>
        <v>#NAME?</v>
      </c>
    </row>
    <row r="508" customFormat="false" ht="15" hidden="false" customHeight="false" outlineLevel="0" collapsed="false">
      <c r="A508" s="0" t="s">
        <v>2234</v>
      </c>
      <c r="B508" s="0" t="s">
        <v>188</v>
      </c>
      <c r="C508" s="0" t="s">
        <v>47</v>
      </c>
      <c r="D508" s="0" t="n">
        <v>32</v>
      </c>
      <c r="E508" s="0" t="s">
        <v>36</v>
      </c>
      <c r="F508" s="0" t="s">
        <v>59</v>
      </c>
      <c r="G508" s="0" t="s">
        <v>2235</v>
      </c>
      <c r="H508" s="0" t="s">
        <v>2236</v>
      </c>
      <c r="I508" s="0" t="s">
        <v>2237</v>
      </c>
      <c r="J508" s="4" t="n">
        <v>45897</v>
      </c>
      <c r="K508" s="0" t="s">
        <v>398</v>
      </c>
      <c r="L508" s="0" t="s">
        <v>100</v>
      </c>
      <c r="M508" s="5" t="n">
        <v>999</v>
      </c>
      <c r="N508" s="0" t="n">
        <v>4</v>
      </c>
      <c r="O508" s="0" t="s">
        <v>54</v>
      </c>
      <c r="P508" s="0" t="n">
        <v>6</v>
      </c>
      <c r="Q508" s="5" t="n">
        <v>0</v>
      </c>
      <c r="R508" s="4" t="n">
        <v>45903</v>
      </c>
      <c r="S508" s="0" t="s">
        <v>800</v>
      </c>
      <c r="T508" s="0" t="n">
        <f aca="false">R508-J508</f>
        <v>6</v>
      </c>
      <c r="U508" s="5" t="n">
        <f aca="false">M508*N508</f>
        <v>3996</v>
      </c>
      <c r="V508" s="6" t="n">
        <f aca="false">IF(O508="FLAT5",5%,IF(O508="FLAT10",10%,IF(O508="FLAT15",15%,IF(O508="FLAT20",20%,0))))</f>
        <v>0</v>
      </c>
      <c r="W508" s="5" t="n">
        <f aca="false">U508*(1-V508)</f>
        <v>3996</v>
      </c>
      <c r="X508" s="5" t="n">
        <f aca="false">W508+IF(O508="DEL0",0,Q508)</f>
        <v>3996</v>
      </c>
      <c r="Y508" s="0" t="str">
        <f aca="false">B508&amp;" "&amp;C508</f>
        <v>Rohan Verma</v>
      </c>
      <c r="Z508" s="0" t="str">
        <f aca="false">IF(T508&lt;P508,"BeforeTime",IF(T508=P508,"Intime","Late"))</f>
        <v>Intime</v>
      </c>
      <c r="AA508" s="0" t="str">
        <f aca="false">TEXT(J508,"mmm")</f>
        <v>Aug</v>
      </c>
      <c r="AB508" s="0" t="e">
        <f aca="false">xlookup(L508,Products!A:A,Products!B:B,"")</f>
        <v>#NAME?</v>
      </c>
    </row>
    <row r="509" customFormat="false" ht="15" hidden="false" customHeight="false" outlineLevel="0" collapsed="false">
      <c r="A509" s="0" t="s">
        <v>2238</v>
      </c>
      <c r="B509" s="0" t="s">
        <v>86</v>
      </c>
      <c r="C509" s="0" t="s">
        <v>113</v>
      </c>
      <c r="D509" s="0" t="n">
        <v>26</v>
      </c>
      <c r="E509" s="0" t="s">
        <v>48</v>
      </c>
      <c r="F509" s="0" t="s">
        <v>202</v>
      </c>
      <c r="G509" s="0" t="s">
        <v>2239</v>
      </c>
      <c r="H509" s="0" t="s">
        <v>755</v>
      </c>
      <c r="I509" s="0" t="s">
        <v>2240</v>
      </c>
      <c r="J509" s="4" t="n">
        <v>45985</v>
      </c>
      <c r="K509" s="0" t="s">
        <v>379</v>
      </c>
      <c r="L509" s="0" t="s">
        <v>53</v>
      </c>
      <c r="M509" s="5" t="n">
        <v>2499</v>
      </c>
      <c r="N509" s="0" t="n">
        <v>2</v>
      </c>
      <c r="O509" s="0" t="s">
        <v>259</v>
      </c>
      <c r="P509" s="0" t="n">
        <v>3</v>
      </c>
      <c r="Q509" s="5" t="n">
        <v>75</v>
      </c>
      <c r="R509" s="4" t="n">
        <v>45988</v>
      </c>
      <c r="S509" s="0" t="s">
        <v>1113</v>
      </c>
      <c r="T509" s="0" t="n">
        <f aca="false">R509-J509</f>
        <v>3</v>
      </c>
      <c r="U509" s="5" t="n">
        <f aca="false">M509*N509</f>
        <v>4998</v>
      </c>
      <c r="V509" s="6" t="n">
        <f aca="false">IF(O509="FLAT5",5%,IF(O509="FLAT10",10%,IF(O509="FLAT15",15%,IF(O509="FLAT20",20%,0))))</f>
        <v>0</v>
      </c>
      <c r="W509" s="5" t="n">
        <f aca="false">U509*(1-V509)</f>
        <v>4998</v>
      </c>
      <c r="X509" s="5" t="n">
        <f aca="false">W509+IF(O509="DEL0",0,Q509)</f>
        <v>5073</v>
      </c>
      <c r="Y509" s="0" t="str">
        <f aca="false">B509&amp;" "&amp;C509</f>
        <v>Rahul Rao</v>
      </c>
      <c r="Z509" s="0" t="str">
        <f aca="false">IF(T509&lt;P509,"BeforeTime",IF(T509=P509,"Intime","Late"))</f>
        <v>Intime</v>
      </c>
      <c r="AA509" s="0" t="str">
        <f aca="false">TEXT(J509,"mmm")</f>
        <v>Nov</v>
      </c>
      <c r="AB509" s="0" t="e">
        <f aca="false">xlookup(L509,Products!A:A,Products!B:B,"")</f>
        <v>#NAME?</v>
      </c>
    </row>
    <row r="510" customFormat="false" ht="15" hidden="false" customHeight="false" outlineLevel="0" collapsed="false">
      <c r="A510" s="0" t="s">
        <v>593</v>
      </c>
      <c r="B510" s="0" t="s">
        <v>294</v>
      </c>
      <c r="C510" s="0" t="s">
        <v>47</v>
      </c>
      <c r="D510" s="0" t="n">
        <v>45</v>
      </c>
      <c r="E510" s="0" t="s">
        <v>36</v>
      </c>
      <c r="F510" s="0" t="s">
        <v>202</v>
      </c>
      <c r="G510" s="0" t="s">
        <v>2241</v>
      </c>
      <c r="H510" s="0" t="s">
        <v>1102</v>
      </c>
      <c r="I510" s="0" t="s">
        <v>2242</v>
      </c>
      <c r="J510" s="4" t="n">
        <v>45673</v>
      </c>
      <c r="K510" s="0" t="s">
        <v>1935</v>
      </c>
      <c r="L510" s="0" t="s">
        <v>391</v>
      </c>
      <c r="M510" s="5" t="n">
        <v>3499</v>
      </c>
      <c r="N510" s="0" t="n">
        <v>1</v>
      </c>
      <c r="O510" s="0" t="s">
        <v>83</v>
      </c>
      <c r="P510" s="0" t="n">
        <v>6</v>
      </c>
      <c r="Q510" s="5" t="n">
        <v>75</v>
      </c>
      <c r="R510" s="4" t="n">
        <v>45676</v>
      </c>
      <c r="S510" s="0" t="s">
        <v>1792</v>
      </c>
      <c r="T510" s="0" t="n">
        <f aca="false">R510-J510</f>
        <v>3</v>
      </c>
      <c r="U510" s="5" t="n">
        <f aca="false">M510*N510</f>
        <v>3499</v>
      </c>
      <c r="V510" s="6" t="n">
        <f aca="false">IF(O510="FLAT5",5%,IF(O510="FLAT10",10%,IF(O510="FLAT15",15%,IF(O510="FLAT20",20%,0))))</f>
        <v>0.05</v>
      </c>
      <c r="W510" s="5" t="n">
        <f aca="false">U510*(1-V510)</f>
        <v>3324.05</v>
      </c>
      <c r="X510" s="5" t="n">
        <f aca="false">W510+IF(O510="DEL0",0,Q510)</f>
        <v>3399.05</v>
      </c>
      <c r="Y510" s="0" t="str">
        <f aca="false">B510&amp;" "&amp;C510</f>
        <v>Aditya Verma</v>
      </c>
      <c r="Z510" s="0" t="str">
        <f aca="false">IF(T510&lt;P510,"BeforeTime",IF(T510=P510,"Intime","Late"))</f>
        <v>BeforeTime</v>
      </c>
      <c r="AA510" s="0" t="str">
        <f aca="false">TEXT(J510,"mmm")</f>
        <v>Jan</v>
      </c>
      <c r="AB510" s="0" t="e">
        <f aca="false">xlookup(L510,Products!A:A,Products!B:B,"")</f>
        <v>#NAME?</v>
      </c>
    </row>
    <row r="511" customFormat="false" ht="15" hidden="false" customHeight="false" outlineLevel="0" collapsed="false">
      <c r="A511" s="0" t="s">
        <v>1219</v>
      </c>
      <c r="B511" s="0" t="s">
        <v>188</v>
      </c>
      <c r="C511" s="0" t="s">
        <v>47</v>
      </c>
      <c r="D511" s="0" t="n">
        <v>38</v>
      </c>
      <c r="E511" s="0" t="s">
        <v>36</v>
      </c>
      <c r="F511" s="0" t="s">
        <v>37</v>
      </c>
      <c r="G511" s="0" t="s">
        <v>2243</v>
      </c>
      <c r="H511" s="0" t="s">
        <v>2244</v>
      </c>
      <c r="I511" s="0" t="s">
        <v>2245</v>
      </c>
      <c r="J511" s="4" t="n">
        <v>45941</v>
      </c>
      <c r="K511" s="0" t="s">
        <v>2246</v>
      </c>
      <c r="L511" s="0" t="s">
        <v>72</v>
      </c>
      <c r="M511" s="5" t="n">
        <v>1299</v>
      </c>
      <c r="N511" s="0" t="n">
        <v>2</v>
      </c>
      <c r="O511" s="0" t="s">
        <v>91</v>
      </c>
      <c r="P511" s="0" t="n">
        <v>3</v>
      </c>
      <c r="Q511" s="5" t="n">
        <v>50</v>
      </c>
      <c r="R511" s="4" t="n">
        <v>45942</v>
      </c>
      <c r="S511" s="0" t="s">
        <v>743</v>
      </c>
      <c r="T511" s="0" t="n">
        <f aca="false">R511-J511</f>
        <v>1</v>
      </c>
      <c r="U511" s="5" t="n">
        <f aca="false">M511*N511</f>
        <v>2598</v>
      </c>
      <c r="V511" s="6" t="n">
        <f aca="false">IF(O511="FLAT5",5%,IF(O511="FLAT10",10%,IF(O511="FLAT15",15%,IF(O511="FLAT20",20%,0))))</f>
        <v>0.1</v>
      </c>
      <c r="W511" s="5" t="n">
        <f aca="false">U511*(1-V511)</f>
        <v>2338.2</v>
      </c>
      <c r="X511" s="5" t="n">
        <f aca="false">W511+IF(O511="DEL0",0,Q511)</f>
        <v>2388.2</v>
      </c>
      <c r="Y511" s="0" t="str">
        <f aca="false">B511&amp;" "&amp;C511</f>
        <v>Rohan Verma</v>
      </c>
      <c r="Z511" s="0" t="str">
        <f aca="false">IF(T511&lt;P511,"BeforeTime",IF(T511=P511,"Intime","Late"))</f>
        <v>BeforeTime</v>
      </c>
      <c r="AA511" s="0" t="str">
        <f aca="false">TEXT(J511,"mmm")</f>
        <v>Oct</v>
      </c>
      <c r="AB511" s="0" t="e">
        <f aca="false">xlookup(L511,Products!A:A,Products!B:B,"")</f>
        <v>#NAME?</v>
      </c>
    </row>
    <row r="512" customFormat="false" ht="15" hidden="false" customHeight="false" outlineLevel="0" collapsed="false">
      <c r="A512" s="0" t="s">
        <v>1188</v>
      </c>
      <c r="B512" s="0" t="s">
        <v>294</v>
      </c>
      <c r="C512" s="0" t="s">
        <v>261</v>
      </c>
      <c r="D512" s="0" t="n">
        <v>41</v>
      </c>
      <c r="E512" s="0" t="s">
        <v>36</v>
      </c>
      <c r="F512" s="0" t="s">
        <v>114</v>
      </c>
      <c r="G512" s="0" t="s">
        <v>2247</v>
      </c>
      <c r="H512" s="0" t="s">
        <v>509</v>
      </c>
      <c r="I512" s="0" t="s">
        <v>2248</v>
      </c>
      <c r="J512" s="4" t="n">
        <v>45848</v>
      </c>
      <c r="K512" s="0" t="s">
        <v>1527</v>
      </c>
      <c r="L512" s="0" t="s">
        <v>53</v>
      </c>
      <c r="M512" s="5" t="n">
        <v>2499</v>
      </c>
      <c r="N512" s="0" t="n">
        <v>2</v>
      </c>
      <c r="O512" s="0" t="s">
        <v>91</v>
      </c>
      <c r="P512" s="0" t="n">
        <v>7</v>
      </c>
      <c r="Q512" s="5" t="n">
        <v>90</v>
      </c>
      <c r="R512" s="4" t="n">
        <v>45853</v>
      </c>
      <c r="S512" s="0" t="s">
        <v>979</v>
      </c>
      <c r="T512" s="0" t="n">
        <f aca="false">R512-J512</f>
        <v>5</v>
      </c>
      <c r="U512" s="5" t="n">
        <f aca="false">M512*N512</f>
        <v>4998</v>
      </c>
      <c r="V512" s="6" t="n">
        <f aca="false">IF(O512="FLAT5",5%,IF(O512="FLAT10",10%,IF(O512="FLAT15",15%,IF(O512="FLAT20",20%,0))))</f>
        <v>0.1</v>
      </c>
      <c r="W512" s="5" t="n">
        <f aca="false">U512*(1-V512)</f>
        <v>4498.2</v>
      </c>
      <c r="X512" s="5" t="n">
        <f aca="false">W512+IF(O512="DEL0",0,Q512)</f>
        <v>4588.2</v>
      </c>
      <c r="Y512" s="0" t="str">
        <f aca="false">B512&amp;" "&amp;C512</f>
        <v>Aditya Kumar</v>
      </c>
      <c r="Z512" s="0" t="str">
        <f aca="false">IF(T512&lt;P512,"BeforeTime",IF(T512=P512,"Intime","Late"))</f>
        <v>BeforeTime</v>
      </c>
      <c r="AA512" s="0" t="str">
        <f aca="false">TEXT(J512,"mmm")</f>
        <v>Jul</v>
      </c>
      <c r="AB512" s="0" t="e">
        <f aca="false">xlookup(L512,Products!A:A,Products!B:B,"")</f>
        <v>#NAME?</v>
      </c>
    </row>
    <row r="513" customFormat="false" ht="15" hidden="false" customHeight="false" outlineLevel="0" collapsed="false">
      <c r="A513" s="0" t="s">
        <v>1456</v>
      </c>
      <c r="B513" s="0" t="s">
        <v>188</v>
      </c>
      <c r="C513" s="0" t="s">
        <v>47</v>
      </c>
      <c r="D513" s="0" t="n">
        <v>54</v>
      </c>
      <c r="E513" s="0" t="s">
        <v>48</v>
      </c>
      <c r="F513" s="0" t="s">
        <v>59</v>
      </c>
      <c r="G513" s="0" t="s">
        <v>2249</v>
      </c>
      <c r="H513" s="0" t="s">
        <v>1031</v>
      </c>
      <c r="I513" s="0" t="s">
        <v>2250</v>
      </c>
      <c r="J513" s="4" t="n">
        <v>45783</v>
      </c>
      <c r="K513" s="0" t="s">
        <v>1595</v>
      </c>
      <c r="L513" s="0" t="s">
        <v>391</v>
      </c>
      <c r="M513" s="5" t="n">
        <v>3499</v>
      </c>
      <c r="N513" s="0" t="n">
        <v>4</v>
      </c>
      <c r="O513" s="0" t="s">
        <v>259</v>
      </c>
      <c r="P513" s="0" t="n">
        <v>2</v>
      </c>
      <c r="Q513" s="5" t="n">
        <v>90</v>
      </c>
      <c r="R513" s="4" t="n">
        <v>45787</v>
      </c>
      <c r="S513" s="0" t="s">
        <v>997</v>
      </c>
      <c r="T513" s="0" t="n">
        <f aca="false">R513-J513</f>
        <v>4</v>
      </c>
      <c r="U513" s="5" t="n">
        <f aca="false">M513*N513</f>
        <v>13996</v>
      </c>
      <c r="V513" s="6" t="n">
        <f aca="false">IF(O513="FLAT5",5%,IF(O513="FLAT10",10%,IF(O513="FLAT15",15%,IF(O513="FLAT20",20%,0))))</f>
        <v>0</v>
      </c>
      <c r="W513" s="5" t="n">
        <f aca="false">U513*(1-V513)</f>
        <v>13996</v>
      </c>
      <c r="X513" s="5" t="n">
        <f aca="false">W513+IF(O513="DEL0",0,Q513)</f>
        <v>14086</v>
      </c>
      <c r="Y513" s="0" t="str">
        <f aca="false">B513&amp;" "&amp;C513</f>
        <v>Rohan Verma</v>
      </c>
      <c r="Z513" s="0" t="str">
        <f aca="false">IF(T513&lt;P513,"BeforeTime",IF(T513=P513,"Intime","Late"))</f>
        <v>Late</v>
      </c>
      <c r="AA513" s="0" t="str">
        <f aca="false">TEXT(J513,"mmm")</f>
        <v>May</v>
      </c>
      <c r="AB513" s="0" t="e">
        <f aca="false">xlookup(L513,Products!A:A,Products!B:B,"")</f>
        <v>#NAME?</v>
      </c>
    </row>
    <row r="514" customFormat="false" ht="15" hidden="false" customHeight="false" outlineLevel="0" collapsed="false">
      <c r="A514" s="0" t="s">
        <v>159</v>
      </c>
      <c r="B514" s="0" t="s">
        <v>75</v>
      </c>
      <c r="C514" s="0" t="s">
        <v>195</v>
      </c>
      <c r="D514" s="0" t="n">
        <v>52</v>
      </c>
      <c r="E514" s="0" t="s">
        <v>48</v>
      </c>
      <c r="F514" s="0" t="s">
        <v>37</v>
      </c>
      <c r="G514" s="0" t="s">
        <v>2251</v>
      </c>
      <c r="H514" s="0" t="s">
        <v>2252</v>
      </c>
      <c r="I514" s="0" t="s">
        <v>2253</v>
      </c>
      <c r="J514" s="4" t="n">
        <v>45997</v>
      </c>
      <c r="K514" s="0" t="s">
        <v>1195</v>
      </c>
      <c r="L514" s="0" t="s">
        <v>82</v>
      </c>
      <c r="M514" s="5" t="n">
        <v>1199</v>
      </c>
      <c r="N514" s="0" t="n">
        <v>1</v>
      </c>
      <c r="O514" s="0" t="s">
        <v>54</v>
      </c>
      <c r="P514" s="0" t="n">
        <v>6</v>
      </c>
      <c r="Q514" s="5" t="n">
        <v>0</v>
      </c>
      <c r="R514" s="4" t="n">
        <v>46002</v>
      </c>
      <c r="S514" s="0" t="s">
        <v>280</v>
      </c>
      <c r="T514" s="0" t="n">
        <f aca="false">R514-J514</f>
        <v>5</v>
      </c>
      <c r="U514" s="5" t="n">
        <f aca="false">M514*N514</f>
        <v>1199</v>
      </c>
      <c r="V514" s="6" t="n">
        <f aca="false">IF(O514="FLAT5",5%,IF(O514="FLAT10",10%,IF(O514="FLAT15",15%,IF(O514="FLAT20",20%,0))))</f>
        <v>0</v>
      </c>
      <c r="W514" s="5" t="n">
        <f aca="false">U514*(1-V514)</f>
        <v>1199</v>
      </c>
      <c r="X514" s="5" t="n">
        <f aca="false">W514+IF(O514="DEL0",0,Q514)</f>
        <v>1199</v>
      </c>
      <c r="Y514" s="0" t="str">
        <f aca="false">B514&amp;" "&amp;C514</f>
        <v>Vikram Singh</v>
      </c>
      <c r="Z514" s="0" t="str">
        <f aca="false">IF(T514&lt;P514,"BeforeTime",IF(T514=P514,"Intime","Late"))</f>
        <v>BeforeTime</v>
      </c>
      <c r="AA514" s="0" t="str">
        <f aca="false">TEXT(J514,"mmm")</f>
        <v>Dec</v>
      </c>
      <c r="AB514" s="0" t="e">
        <f aca="false">xlookup(L514,Products!A:A,Products!B:B,"")</f>
        <v>#NAME?</v>
      </c>
    </row>
    <row r="515" customFormat="false" ht="15" hidden="false" customHeight="false" outlineLevel="0" collapsed="false">
      <c r="A515" s="0" t="s">
        <v>471</v>
      </c>
      <c r="B515" s="0" t="s">
        <v>582</v>
      </c>
      <c r="C515" s="0" t="s">
        <v>229</v>
      </c>
      <c r="D515" s="0" t="n">
        <v>43</v>
      </c>
      <c r="E515" s="0" t="s">
        <v>48</v>
      </c>
      <c r="F515" s="0" t="s">
        <v>248</v>
      </c>
      <c r="G515" s="0" t="s">
        <v>2254</v>
      </c>
      <c r="H515" s="0" t="s">
        <v>2255</v>
      </c>
      <c r="I515" s="0" t="s">
        <v>2256</v>
      </c>
      <c r="J515" s="4" t="n">
        <v>45984</v>
      </c>
      <c r="K515" s="0" t="s">
        <v>1293</v>
      </c>
      <c r="L515" s="0" t="s">
        <v>53</v>
      </c>
      <c r="M515" s="5" t="n">
        <v>2499</v>
      </c>
      <c r="N515" s="0" t="n">
        <v>3</v>
      </c>
      <c r="O515" s="0" t="s">
        <v>43</v>
      </c>
      <c r="P515" s="0" t="n">
        <v>6</v>
      </c>
      <c r="Q515" s="5" t="n">
        <v>50</v>
      </c>
      <c r="R515" s="4" t="n">
        <v>45990</v>
      </c>
      <c r="S515" s="0" t="s">
        <v>2257</v>
      </c>
      <c r="T515" s="0" t="n">
        <f aca="false">R515-J515</f>
        <v>6</v>
      </c>
      <c r="U515" s="5" t="n">
        <f aca="false">M515*N515</f>
        <v>7497</v>
      </c>
      <c r="V515" s="6" t="n">
        <f aca="false">IF(O515="FLAT5",5%,IF(O515="FLAT10",10%,IF(O515="FLAT15",15%,IF(O515="FLAT20",20%,0))))</f>
        <v>0.2</v>
      </c>
      <c r="W515" s="5" t="n">
        <f aca="false">U515*(1-V515)</f>
        <v>5997.6</v>
      </c>
      <c r="X515" s="5" t="n">
        <f aca="false">W515+IF(O515="DEL0",0,Q515)</f>
        <v>6047.6</v>
      </c>
      <c r="Y515" s="0" t="str">
        <f aca="false">B515&amp;" "&amp;C515</f>
        <v>Kavya Joshi</v>
      </c>
      <c r="Z515" s="0" t="str">
        <f aca="false">IF(T515&lt;P515,"BeforeTime",IF(T515=P515,"Intime","Late"))</f>
        <v>Intime</v>
      </c>
      <c r="AA515" s="0" t="str">
        <f aca="false">TEXT(J515,"mmm")</f>
        <v>Nov</v>
      </c>
      <c r="AB515" s="0" t="e">
        <f aca="false">xlookup(L515,Products!A:A,Products!B:B,"")</f>
        <v>#NAME?</v>
      </c>
    </row>
    <row r="516" customFormat="false" ht="15" hidden="false" customHeight="false" outlineLevel="0" collapsed="false">
      <c r="A516" s="0" t="s">
        <v>1008</v>
      </c>
      <c r="B516" s="0" t="s">
        <v>122</v>
      </c>
      <c r="C516" s="0" t="s">
        <v>95</v>
      </c>
      <c r="D516" s="0" t="n">
        <v>44</v>
      </c>
      <c r="E516" s="0" t="s">
        <v>36</v>
      </c>
      <c r="F516" s="0" t="s">
        <v>59</v>
      </c>
      <c r="G516" s="0" t="s">
        <v>2258</v>
      </c>
      <c r="H516" s="0" t="s">
        <v>1204</v>
      </c>
      <c r="I516" s="0" t="s">
        <v>2259</v>
      </c>
      <c r="J516" s="4" t="n">
        <v>45701</v>
      </c>
      <c r="K516" s="0" t="s">
        <v>1393</v>
      </c>
      <c r="L516" s="0" t="s">
        <v>72</v>
      </c>
      <c r="M516" s="5" t="n">
        <v>1299</v>
      </c>
      <c r="N516" s="0" t="n">
        <v>1</v>
      </c>
      <c r="O516" s="0" t="s">
        <v>83</v>
      </c>
      <c r="P516" s="0" t="n">
        <v>4</v>
      </c>
      <c r="Q516" s="5" t="n">
        <v>60</v>
      </c>
      <c r="R516" s="4" t="n">
        <v>45705</v>
      </c>
      <c r="S516" s="0" t="s">
        <v>1899</v>
      </c>
      <c r="T516" s="0" t="n">
        <f aca="false">R516-J516</f>
        <v>4</v>
      </c>
      <c r="U516" s="5" t="n">
        <f aca="false">M516*N516</f>
        <v>1299</v>
      </c>
      <c r="V516" s="6" t="n">
        <f aca="false">IF(O516="FLAT5",5%,IF(O516="FLAT10",10%,IF(O516="FLAT15",15%,IF(O516="FLAT20",20%,0))))</f>
        <v>0.05</v>
      </c>
      <c r="W516" s="5" t="n">
        <f aca="false">U516*(1-V516)</f>
        <v>1234.05</v>
      </c>
      <c r="X516" s="5" t="n">
        <f aca="false">W516+IF(O516="DEL0",0,Q516)</f>
        <v>1294.05</v>
      </c>
      <c r="Y516" s="0" t="str">
        <f aca="false">B516&amp;" "&amp;C516</f>
        <v>Meera Mishra</v>
      </c>
      <c r="Z516" s="0" t="str">
        <f aca="false">IF(T516&lt;P516,"BeforeTime",IF(T516=P516,"Intime","Late"))</f>
        <v>Intime</v>
      </c>
      <c r="AA516" s="0" t="str">
        <f aca="false">TEXT(J516,"mmm")</f>
        <v>Feb</v>
      </c>
      <c r="AB516" s="0" t="e">
        <f aca="false">xlookup(L516,Products!A:A,Products!B:B,"")</f>
        <v>#NAME?</v>
      </c>
    </row>
    <row r="517" customFormat="false" ht="15" hidden="false" customHeight="false" outlineLevel="0" collapsed="false">
      <c r="A517" s="0" t="s">
        <v>85</v>
      </c>
      <c r="B517" s="0" t="s">
        <v>282</v>
      </c>
      <c r="C517" s="0" t="s">
        <v>105</v>
      </c>
      <c r="D517" s="0" t="n">
        <v>49</v>
      </c>
      <c r="E517" s="0" t="s">
        <v>48</v>
      </c>
      <c r="F517" s="0" t="s">
        <v>160</v>
      </c>
      <c r="G517" s="0" t="s">
        <v>2260</v>
      </c>
      <c r="H517" s="0" t="s">
        <v>149</v>
      </c>
      <c r="I517" s="0" t="s">
        <v>2261</v>
      </c>
      <c r="J517" s="4" t="n">
        <v>45853</v>
      </c>
      <c r="K517" s="0" t="s">
        <v>200</v>
      </c>
      <c r="L517" s="0" t="s">
        <v>391</v>
      </c>
      <c r="M517" s="5" t="n">
        <v>3499</v>
      </c>
      <c r="N517" s="0" t="n">
        <v>4</v>
      </c>
      <c r="O517" s="0" t="s">
        <v>91</v>
      </c>
      <c r="P517" s="0" t="n">
        <v>2</v>
      </c>
      <c r="Q517" s="5" t="n">
        <v>50</v>
      </c>
      <c r="R517" s="4" t="n">
        <v>45854</v>
      </c>
      <c r="S517" s="0" t="s">
        <v>1223</v>
      </c>
      <c r="T517" s="0" t="n">
        <f aca="false">R517-J517</f>
        <v>1</v>
      </c>
      <c r="U517" s="5" t="n">
        <f aca="false">M517*N517</f>
        <v>13996</v>
      </c>
      <c r="V517" s="6" t="n">
        <f aca="false">IF(O517="FLAT5",5%,IF(O517="FLAT10",10%,IF(O517="FLAT15",15%,IF(O517="FLAT20",20%,0))))</f>
        <v>0.1</v>
      </c>
      <c r="W517" s="5" t="n">
        <f aca="false">U517*(1-V517)</f>
        <v>12596.4</v>
      </c>
      <c r="X517" s="5" t="n">
        <f aca="false">W517+IF(O517="DEL0",0,Q517)</f>
        <v>12646.4</v>
      </c>
      <c r="Y517" s="0" t="str">
        <f aca="false">B517&amp;" "&amp;C517</f>
        <v>Nisha Bhat</v>
      </c>
      <c r="Z517" s="0" t="str">
        <f aca="false">IF(T517&lt;P517,"BeforeTime",IF(T517=P517,"Intime","Late"))</f>
        <v>BeforeTime</v>
      </c>
      <c r="AA517" s="0" t="str">
        <f aca="false">TEXT(J517,"mmm")</f>
        <v>Jul</v>
      </c>
      <c r="AB517" s="0" t="e">
        <f aca="false">xlookup(L517,Products!A:A,Products!B:B,"")</f>
        <v>#NAME?</v>
      </c>
    </row>
    <row r="518" customFormat="false" ht="15" hidden="false" customHeight="false" outlineLevel="0" collapsed="false">
      <c r="A518" s="0" t="s">
        <v>581</v>
      </c>
      <c r="B518" s="0" t="s">
        <v>269</v>
      </c>
      <c r="C518" s="0" t="s">
        <v>76</v>
      </c>
      <c r="D518" s="0" t="n">
        <v>37</v>
      </c>
      <c r="E518" s="0" t="s">
        <v>36</v>
      </c>
      <c r="F518" s="0" t="s">
        <v>140</v>
      </c>
      <c r="G518" s="0" t="s">
        <v>2262</v>
      </c>
      <c r="H518" s="0" t="s">
        <v>2097</v>
      </c>
      <c r="I518" s="0" t="s">
        <v>2263</v>
      </c>
      <c r="J518" s="4" t="n">
        <v>45937</v>
      </c>
      <c r="K518" s="0" t="s">
        <v>1408</v>
      </c>
      <c r="L518" s="0" t="s">
        <v>129</v>
      </c>
      <c r="M518" s="5" t="n">
        <v>2999</v>
      </c>
      <c r="N518" s="0" t="n">
        <v>1</v>
      </c>
      <c r="O518" s="0" t="s">
        <v>91</v>
      </c>
      <c r="P518" s="0" t="n">
        <v>3</v>
      </c>
      <c r="Q518" s="5" t="n">
        <v>120</v>
      </c>
      <c r="R518" s="4" t="n">
        <v>45940</v>
      </c>
      <c r="S518" s="0" t="s">
        <v>2264</v>
      </c>
      <c r="T518" s="0" t="n">
        <f aca="false">R518-J518</f>
        <v>3</v>
      </c>
      <c r="U518" s="5" t="n">
        <f aca="false">M518*N518</f>
        <v>2999</v>
      </c>
      <c r="V518" s="6" t="n">
        <f aca="false">IF(O518="FLAT5",5%,IF(O518="FLAT10",10%,IF(O518="FLAT15",15%,IF(O518="FLAT20",20%,0))))</f>
        <v>0.1</v>
      </c>
      <c r="W518" s="5" t="n">
        <f aca="false">U518*(1-V518)</f>
        <v>2699.1</v>
      </c>
      <c r="X518" s="5" t="n">
        <f aca="false">W518+IF(O518="DEL0",0,Q518)</f>
        <v>2819.1</v>
      </c>
      <c r="Y518" s="0" t="str">
        <f aca="false">B518&amp;" "&amp;C518</f>
        <v>Varun Patel</v>
      </c>
      <c r="Z518" s="0" t="str">
        <f aca="false">IF(T518&lt;P518,"BeforeTime",IF(T518=P518,"Intime","Late"))</f>
        <v>Intime</v>
      </c>
      <c r="AA518" s="0" t="str">
        <f aca="false">TEXT(J518,"mmm")</f>
        <v>Oct</v>
      </c>
      <c r="AB518" s="0" t="e">
        <f aca="false">xlookup(L518,Products!A:A,Products!B:B,"")</f>
        <v>#NAME?</v>
      </c>
    </row>
    <row r="519" customFormat="false" ht="15" hidden="false" customHeight="false" outlineLevel="0" collapsed="false">
      <c r="A519" s="0" t="s">
        <v>684</v>
      </c>
      <c r="B519" s="0" t="s">
        <v>75</v>
      </c>
      <c r="C519" s="0" t="s">
        <v>47</v>
      </c>
      <c r="D519" s="0" t="n">
        <v>58</v>
      </c>
      <c r="E519" s="0" t="s">
        <v>36</v>
      </c>
      <c r="F519" s="0" t="s">
        <v>77</v>
      </c>
      <c r="G519" s="0" t="s">
        <v>2265</v>
      </c>
      <c r="H519" s="0" t="s">
        <v>778</v>
      </c>
      <c r="I519" s="0" t="s">
        <v>2266</v>
      </c>
      <c r="J519" s="4" t="n">
        <v>45802</v>
      </c>
      <c r="K519" s="0" t="s">
        <v>1334</v>
      </c>
      <c r="L519" s="0" t="s">
        <v>72</v>
      </c>
      <c r="M519" s="5" t="n">
        <v>1299</v>
      </c>
      <c r="N519" s="0" t="n">
        <v>1</v>
      </c>
      <c r="O519" s="0" t="s">
        <v>54</v>
      </c>
      <c r="P519" s="0" t="n">
        <v>4</v>
      </c>
      <c r="Q519" s="5" t="n">
        <v>0</v>
      </c>
      <c r="R519" s="4" t="n">
        <v>45810</v>
      </c>
      <c r="S519" s="0" t="s">
        <v>1679</v>
      </c>
      <c r="T519" s="0" t="n">
        <f aca="false">R519-J519</f>
        <v>8</v>
      </c>
      <c r="U519" s="5" t="n">
        <f aca="false">M519*N519</f>
        <v>1299</v>
      </c>
      <c r="V519" s="6" t="n">
        <f aca="false">IF(O519="FLAT5",5%,IF(O519="FLAT10",10%,IF(O519="FLAT15",15%,IF(O519="FLAT20",20%,0))))</f>
        <v>0</v>
      </c>
      <c r="W519" s="5" t="n">
        <f aca="false">U519*(1-V519)</f>
        <v>1299</v>
      </c>
      <c r="X519" s="5" t="n">
        <f aca="false">W519+IF(O519="DEL0",0,Q519)</f>
        <v>1299</v>
      </c>
      <c r="Y519" s="0" t="str">
        <f aca="false">B519&amp;" "&amp;C519</f>
        <v>Vikram Verma</v>
      </c>
      <c r="Z519" s="0" t="str">
        <f aca="false">IF(T519&lt;P519,"BeforeTime",IF(T519=P519,"Intime","Late"))</f>
        <v>Late</v>
      </c>
      <c r="AA519" s="0" t="str">
        <f aca="false">TEXT(J519,"mmm")</f>
        <v>May</v>
      </c>
      <c r="AB519" s="0" t="e">
        <f aca="false">xlookup(L519,Products!A:A,Products!B:B,"")</f>
        <v>#NAME?</v>
      </c>
    </row>
    <row r="520" customFormat="false" ht="15" hidden="false" customHeight="false" outlineLevel="0" collapsed="false">
      <c r="A520" s="0" t="s">
        <v>904</v>
      </c>
      <c r="B520" s="0" t="s">
        <v>269</v>
      </c>
      <c r="C520" s="0" t="s">
        <v>195</v>
      </c>
      <c r="D520" s="0" t="n">
        <v>45</v>
      </c>
      <c r="E520" s="0" t="s">
        <v>36</v>
      </c>
      <c r="F520" s="0" t="s">
        <v>37</v>
      </c>
      <c r="G520" s="0" t="s">
        <v>2267</v>
      </c>
      <c r="H520" s="0" t="s">
        <v>604</v>
      </c>
      <c r="I520" s="0" t="s">
        <v>2268</v>
      </c>
      <c r="J520" s="4" t="n">
        <v>45922</v>
      </c>
      <c r="K520" s="0" t="s">
        <v>2269</v>
      </c>
      <c r="L520" s="0" t="s">
        <v>82</v>
      </c>
      <c r="M520" s="5" t="n">
        <v>1199</v>
      </c>
      <c r="N520" s="0" t="n">
        <v>2</v>
      </c>
      <c r="O520" s="0" t="s">
        <v>101</v>
      </c>
      <c r="P520" s="0" t="n">
        <v>6</v>
      </c>
      <c r="Q520" s="5" t="n">
        <v>120</v>
      </c>
      <c r="R520" s="4" t="n">
        <v>45932</v>
      </c>
      <c r="S520" s="0" t="s">
        <v>1784</v>
      </c>
      <c r="T520" s="0" t="n">
        <f aca="false">R520-J520</f>
        <v>10</v>
      </c>
      <c r="U520" s="5" t="n">
        <f aca="false">M520*N520</f>
        <v>2398</v>
      </c>
      <c r="V520" s="6" t="n">
        <f aca="false">IF(O520="FLAT5",5%,IF(O520="FLAT10",10%,IF(O520="FLAT15",15%,IF(O520="FLAT20",20%,0))))</f>
        <v>0.15</v>
      </c>
      <c r="W520" s="5" t="n">
        <f aca="false">U520*(1-V520)</f>
        <v>2038.3</v>
      </c>
      <c r="X520" s="5" t="n">
        <f aca="false">W520+IF(O520="DEL0",0,Q520)</f>
        <v>2158.3</v>
      </c>
      <c r="Y520" s="0" t="str">
        <f aca="false">B520&amp;" "&amp;C520</f>
        <v>Varun Singh</v>
      </c>
      <c r="Z520" s="0" t="str">
        <f aca="false">IF(T520&lt;P520,"BeforeTime",IF(T520=P520,"Intime","Late"))</f>
        <v>Late</v>
      </c>
      <c r="AA520" s="0" t="str">
        <f aca="false">TEXT(J520,"mmm")</f>
        <v>Sep</v>
      </c>
      <c r="AB520" s="0" t="e">
        <f aca="false">xlookup(L520,Products!A:A,Products!B:B,"")</f>
        <v>#NAME?</v>
      </c>
    </row>
    <row r="521" customFormat="false" ht="15" hidden="false" customHeight="false" outlineLevel="0" collapsed="false">
      <c r="A521" s="0" t="s">
        <v>180</v>
      </c>
      <c r="B521" s="0" t="s">
        <v>188</v>
      </c>
      <c r="C521" s="0" t="s">
        <v>95</v>
      </c>
      <c r="D521" s="0" t="n">
        <v>46</v>
      </c>
      <c r="E521" s="0" t="s">
        <v>36</v>
      </c>
      <c r="F521" s="0" t="s">
        <v>248</v>
      </c>
      <c r="G521" s="0" t="s">
        <v>2270</v>
      </c>
      <c r="H521" s="0" t="s">
        <v>323</v>
      </c>
      <c r="I521" s="0" t="s">
        <v>2271</v>
      </c>
      <c r="J521" s="4" t="n">
        <v>45953</v>
      </c>
      <c r="K521" s="0" t="s">
        <v>342</v>
      </c>
      <c r="L521" s="0" t="s">
        <v>53</v>
      </c>
      <c r="M521" s="5" t="n">
        <v>2499</v>
      </c>
      <c r="N521" s="0" t="n">
        <v>1</v>
      </c>
      <c r="O521" s="0" t="s">
        <v>91</v>
      </c>
      <c r="P521" s="0" t="n">
        <v>3</v>
      </c>
      <c r="Q521" s="5" t="n">
        <v>120</v>
      </c>
      <c r="R521" s="4" t="n">
        <v>45956</v>
      </c>
      <c r="S521" s="0" t="s">
        <v>2021</v>
      </c>
      <c r="T521" s="0" t="n">
        <f aca="false">R521-J521</f>
        <v>3</v>
      </c>
      <c r="U521" s="5" t="n">
        <f aca="false">M521*N521</f>
        <v>2499</v>
      </c>
      <c r="V521" s="6" t="n">
        <f aca="false">IF(O521="FLAT5",5%,IF(O521="FLAT10",10%,IF(O521="FLAT15",15%,IF(O521="FLAT20",20%,0))))</f>
        <v>0.1</v>
      </c>
      <c r="W521" s="5" t="n">
        <f aca="false">U521*(1-V521)</f>
        <v>2249.1</v>
      </c>
      <c r="X521" s="5" t="n">
        <f aca="false">W521+IF(O521="DEL0",0,Q521)</f>
        <v>2369.1</v>
      </c>
      <c r="Y521" s="0" t="str">
        <f aca="false">B521&amp;" "&amp;C521</f>
        <v>Rohan Mishra</v>
      </c>
      <c r="Z521" s="0" t="str">
        <f aca="false">IF(T521&lt;P521,"BeforeTime",IF(T521=P521,"Intime","Late"))</f>
        <v>Intime</v>
      </c>
      <c r="AA521" s="0" t="str">
        <f aca="false">TEXT(J521,"mmm")</f>
        <v>Oct</v>
      </c>
      <c r="AB521" s="0" t="e">
        <f aca="false">xlookup(L521,Products!A:A,Products!B:B,"")</f>
        <v>#NAME?</v>
      </c>
    </row>
    <row r="522" customFormat="false" ht="15" hidden="false" customHeight="false" outlineLevel="0" collapsed="false">
      <c r="A522" s="0" t="s">
        <v>782</v>
      </c>
      <c r="B522" s="0" t="s">
        <v>294</v>
      </c>
      <c r="C522" s="0" t="s">
        <v>368</v>
      </c>
      <c r="D522" s="0" t="n">
        <v>40</v>
      </c>
      <c r="E522" s="0" t="s">
        <v>36</v>
      </c>
      <c r="F522" s="0" t="s">
        <v>124</v>
      </c>
      <c r="G522" s="0" t="s">
        <v>2272</v>
      </c>
      <c r="H522" s="0" t="s">
        <v>231</v>
      </c>
      <c r="I522" s="0" t="s">
        <v>2273</v>
      </c>
      <c r="J522" s="4" t="n">
        <v>45827</v>
      </c>
      <c r="K522" s="0" t="s">
        <v>2274</v>
      </c>
      <c r="L522" s="0" t="s">
        <v>110</v>
      </c>
      <c r="M522" s="5" t="n">
        <v>1499</v>
      </c>
      <c r="N522" s="0" t="n">
        <v>2</v>
      </c>
      <c r="O522" s="0" t="s">
        <v>83</v>
      </c>
      <c r="P522" s="0" t="n">
        <v>6</v>
      </c>
      <c r="Q522" s="5" t="n">
        <v>90</v>
      </c>
      <c r="R522" s="4" t="n">
        <v>45833</v>
      </c>
      <c r="S522" s="0" t="s">
        <v>2257</v>
      </c>
      <c r="T522" s="0" t="n">
        <f aca="false">R522-J522</f>
        <v>6</v>
      </c>
      <c r="U522" s="5" t="n">
        <f aca="false">M522*N522</f>
        <v>2998</v>
      </c>
      <c r="V522" s="6" t="n">
        <f aca="false">IF(O522="FLAT5",5%,IF(O522="FLAT10",10%,IF(O522="FLAT15",15%,IF(O522="FLAT20",20%,0))))</f>
        <v>0.05</v>
      </c>
      <c r="W522" s="5" t="n">
        <f aca="false">U522*(1-V522)</f>
        <v>2848.1</v>
      </c>
      <c r="X522" s="5" t="n">
        <f aca="false">W522+IF(O522="DEL0",0,Q522)</f>
        <v>2938.1</v>
      </c>
      <c r="Y522" s="0" t="str">
        <f aca="false">B522&amp;" "&amp;C522</f>
        <v>Aditya Das</v>
      </c>
      <c r="Z522" s="0" t="str">
        <f aca="false">IF(T522&lt;P522,"BeforeTime",IF(T522=P522,"Intime","Late"))</f>
        <v>Intime</v>
      </c>
      <c r="AA522" s="0" t="str">
        <f aca="false">TEXT(J522,"mmm")</f>
        <v>Jun</v>
      </c>
      <c r="AB522" s="0" t="e">
        <f aca="false">xlookup(L522,Products!A:A,Products!B:B,"")</f>
        <v>#NAME?</v>
      </c>
    </row>
    <row r="523" customFormat="false" ht="15" hidden="false" customHeight="false" outlineLevel="0" collapsed="false">
      <c r="A523" s="0" t="s">
        <v>2275</v>
      </c>
      <c r="B523" s="0" t="s">
        <v>294</v>
      </c>
      <c r="C523" s="0" t="s">
        <v>76</v>
      </c>
      <c r="D523" s="0" t="n">
        <v>54</v>
      </c>
      <c r="E523" s="0" t="s">
        <v>48</v>
      </c>
      <c r="F523" s="0" t="s">
        <v>37</v>
      </c>
      <c r="G523" s="0" t="s">
        <v>2276</v>
      </c>
      <c r="H523" s="0" t="s">
        <v>539</v>
      </c>
      <c r="I523" s="0" t="s">
        <v>2277</v>
      </c>
      <c r="J523" s="4" t="n">
        <v>45889</v>
      </c>
      <c r="K523" s="0" t="s">
        <v>1768</v>
      </c>
      <c r="L523" s="0" t="s">
        <v>53</v>
      </c>
      <c r="M523" s="5" t="n">
        <v>2499</v>
      </c>
      <c r="N523" s="0" t="n">
        <v>1</v>
      </c>
      <c r="O523" s="0" t="s">
        <v>91</v>
      </c>
      <c r="P523" s="0" t="n">
        <v>7</v>
      </c>
      <c r="Q523" s="5" t="n">
        <v>50</v>
      </c>
      <c r="R523" s="4" t="n">
        <v>45897</v>
      </c>
      <c r="S523" s="0" t="s">
        <v>2064</v>
      </c>
      <c r="T523" s="0" t="n">
        <f aca="false">R523-J523</f>
        <v>8</v>
      </c>
      <c r="U523" s="5" t="n">
        <f aca="false">M523*N523</f>
        <v>2499</v>
      </c>
      <c r="V523" s="6" t="n">
        <f aca="false">IF(O523="FLAT5",5%,IF(O523="FLAT10",10%,IF(O523="FLAT15",15%,IF(O523="FLAT20",20%,0))))</f>
        <v>0.1</v>
      </c>
      <c r="W523" s="5" t="n">
        <f aca="false">U523*(1-V523)</f>
        <v>2249.1</v>
      </c>
      <c r="X523" s="5" t="n">
        <f aca="false">W523+IF(O523="DEL0",0,Q523)</f>
        <v>2299.1</v>
      </c>
      <c r="Y523" s="0" t="str">
        <f aca="false">B523&amp;" "&amp;C523</f>
        <v>Aditya Patel</v>
      </c>
      <c r="Z523" s="0" t="str">
        <f aca="false">IF(T523&lt;P523,"BeforeTime",IF(T523=P523,"Intime","Late"))</f>
        <v>Late</v>
      </c>
      <c r="AA523" s="0" t="str">
        <f aca="false">TEXT(J523,"mmm")</f>
        <v>Aug</v>
      </c>
      <c r="AB523" s="0" t="e">
        <f aca="false">xlookup(L523,Products!A:A,Products!B:B,"")</f>
        <v>#NAME?</v>
      </c>
    </row>
    <row r="524" customFormat="false" ht="15" hidden="false" customHeight="false" outlineLevel="0" collapsed="false">
      <c r="A524" s="0" t="s">
        <v>2278</v>
      </c>
      <c r="B524" s="0" t="s">
        <v>147</v>
      </c>
      <c r="C524" s="0" t="s">
        <v>35</v>
      </c>
      <c r="D524" s="0" t="n">
        <v>31</v>
      </c>
      <c r="E524" s="0" t="s">
        <v>36</v>
      </c>
      <c r="F524" s="0" t="s">
        <v>140</v>
      </c>
      <c r="G524" s="0" t="s">
        <v>2279</v>
      </c>
      <c r="H524" s="0" t="s">
        <v>649</v>
      </c>
      <c r="I524" s="0" t="s">
        <v>2280</v>
      </c>
      <c r="J524" s="4" t="n">
        <v>45807</v>
      </c>
      <c r="K524" s="0" t="s">
        <v>372</v>
      </c>
      <c r="L524" s="0" t="s">
        <v>136</v>
      </c>
      <c r="M524" s="5" t="n">
        <v>1799</v>
      </c>
      <c r="N524" s="0" t="n">
        <v>3</v>
      </c>
      <c r="O524" s="0" t="s">
        <v>91</v>
      </c>
      <c r="P524" s="0" t="n">
        <v>7</v>
      </c>
      <c r="Q524" s="5" t="n">
        <v>75</v>
      </c>
      <c r="R524" s="4" t="n">
        <v>45814</v>
      </c>
      <c r="S524" s="0" t="s">
        <v>220</v>
      </c>
      <c r="T524" s="0" t="n">
        <f aca="false">R524-J524</f>
        <v>7</v>
      </c>
      <c r="U524" s="5" t="n">
        <f aca="false">M524*N524</f>
        <v>5397</v>
      </c>
      <c r="V524" s="6" t="n">
        <f aca="false">IF(O524="FLAT5",5%,IF(O524="FLAT10",10%,IF(O524="FLAT15",15%,IF(O524="FLAT20",20%,0))))</f>
        <v>0.1</v>
      </c>
      <c r="W524" s="5" t="n">
        <f aca="false">U524*(1-V524)</f>
        <v>4857.3</v>
      </c>
      <c r="X524" s="5" t="n">
        <f aca="false">W524+IF(O524="DEL0",0,Q524)</f>
        <v>4932.3</v>
      </c>
      <c r="Y524" s="0" t="str">
        <f aca="false">B524&amp;" "&amp;C524</f>
        <v>Pooja Sharma</v>
      </c>
      <c r="Z524" s="0" t="str">
        <f aca="false">IF(T524&lt;P524,"BeforeTime",IF(T524=P524,"Intime","Late"))</f>
        <v>Intime</v>
      </c>
      <c r="AA524" s="0" t="str">
        <f aca="false">TEXT(J524,"mmm")</f>
        <v>May</v>
      </c>
      <c r="AB524" s="0" t="e">
        <f aca="false">xlookup(L524,Products!A:A,Products!B:B,"")</f>
        <v>#NAME?</v>
      </c>
    </row>
    <row r="525" customFormat="false" ht="15" hidden="false" customHeight="false" outlineLevel="0" collapsed="false">
      <c r="A525" s="0" t="s">
        <v>552</v>
      </c>
      <c r="B525" s="0" t="s">
        <v>282</v>
      </c>
      <c r="C525" s="0" t="s">
        <v>58</v>
      </c>
      <c r="D525" s="0" t="n">
        <v>30</v>
      </c>
      <c r="E525" s="0" t="s">
        <v>36</v>
      </c>
      <c r="F525" s="0" t="s">
        <v>262</v>
      </c>
      <c r="G525" s="0" t="s">
        <v>2281</v>
      </c>
      <c r="H525" s="0" t="s">
        <v>2282</v>
      </c>
      <c r="I525" s="0" t="s">
        <v>2283</v>
      </c>
      <c r="J525" s="4" t="n">
        <v>45693</v>
      </c>
      <c r="K525" s="0" t="s">
        <v>1094</v>
      </c>
      <c r="L525" s="0" t="s">
        <v>240</v>
      </c>
      <c r="M525" s="5" t="n">
        <v>4999</v>
      </c>
      <c r="N525" s="0" t="n">
        <v>4</v>
      </c>
      <c r="O525" s="0" t="s">
        <v>101</v>
      </c>
      <c r="P525" s="0" t="n">
        <v>5</v>
      </c>
      <c r="Q525" s="5" t="n">
        <v>50</v>
      </c>
      <c r="R525" s="4" t="n">
        <v>45700</v>
      </c>
      <c r="S525" s="0" t="s">
        <v>785</v>
      </c>
      <c r="T525" s="0" t="n">
        <f aca="false">R525-J525</f>
        <v>7</v>
      </c>
      <c r="U525" s="5" t="n">
        <f aca="false">M525*N525</f>
        <v>19996</v>
      </c>
      <c r="V525" s="6" t="n">
        <f aca="false">IF(O525="FLAT5",5%,IF(O525="FLAT10",10%,IF(O525="FLAT15",15%,IF(O525="FLAT20",20%,0))))</f>
        <v>0.15</v>
      </c>
      <c r="W525" s="5" t="n">
        <f aca="false">U525*(1-V525)</f>
        <v>16996.6</v>
      </c>
      <c r="X525" s="5" t="n">
        <f aca="false">W525+IF(O525="DEL0",0,Q525)</f>
        <v>17046.6</v>
      </c>
      <c r="Y525" s="0" t="str">
        <f aca="false">B525&amp;" "&amp;C525</f>
        <v>Nisha Iyer</v>
      </c>
      <c r="Z525" s="0" t="str">
        <f aca="false">IF(T525&lt;P525,"BeforeTime",IF(T525=P525,"Intime","Late"))</f>
        <v>Late</v>
      </c>
      <c r="AA525" s="0" t="str">
        <f aca="false">TEXT(J525,"mmm")</f>
        <v>Feb</v>
      </c>
      <c r="AB525" s="0" t="e">
        <f aca="false">xlookup(L525,Products!A:A,Products!B:B,"")</f>
        <v>#NAME?</v>
      </c>
    </row>
    <row r="526" customFormat="false" ht="15" hidden="false" customHeight="false" outlineLevel="0" collapsed="false">
      <c r="A526" s="0" t="s">
        <v>507</v>
      </c>
      <c r="B526" s="0" t="s">
        <v>147</v>
      </c>
      <c r="C526" s="0" t="s">
        <v>113</v>
      </c>
      <c r="D526" s="0" t="n">
        <v>58</v>
      </c>
      <c r="E526" s="0" t="s">
        <v>48</v>
      </c>
      <c r="F526" s="0" t="s">
        <v>124</v>
      </c>
      <c r="G526" s="0" t="s">
        <v>2284</v>
      </c>
      <c r="H526" s="0" t="s">
        <v>2189</v>
      </c>
      <c r="I526" s="0" t="s">
        <v>2285</v>
      </c>
      <c r="J526" s="4" t="n">
        <v>45661</v>
      </c>
      <c r="K526" s="0" t="s">
        <v>1090</v>
      </c>
      <c r="L526" s="0" t="s">
        <v>100</v>
      </c>
      <c r="M526" s="5" t="n">
        <v>999</v>
      </c>
      <c r="N526" s="0" t="n">
        <v>4</v>
      </c>
      <c r="O526" s="0" t="s">
        <v>91</v>
      </c>
      <c r="P526" s="0" t="n">
        <v>3</v>
      </c>
      <c r="Q526" s="5" t="n">
        <v>75</v>
      </c>
      <c r="R526" s="4" t="n">
        <v>45664</v>
      </c>
      <c r="S526" s="0" t="s">
        <v>65</v>
      </c>
      <c r="T526" s="0" t="n">
        <f aca="false">R526-J526</f>
        <v>3</v>
      </c>
      <c r="U526" s="5" t="n">
        <f aca="false">M526*N526</f>
        <v>3996</v>
      </c>
      <c r="V526" s="6" t="n">
        <f aca="false">IF(O526="FLAT5",5%,IF(O526="FLAT10",10%,IF(O526="FLAT15",15%,IF(O526="FLAT20",20%,0))))</f>
        <v>0.1</v>
      </c>
      <c r="W526" s="5" t="n">
        <f aca="false">U526*(1-V526)</f>
        <v>3596.4</v>
      </c>
      <c r="X526" s="5" t="n">
        <f aca="false">W526+IF(O526="DEL0",0,Q526)</f>
        <v>3671.4</v>
      </c>
      <c r="Y526" s="0" t="str">
        <f aca="false">B526&amp;" "&amp;C526</f>
        <v>Pooja Rao</v>
      </c>
      <c r="Z526" s="0" t="str">
        <f aca="false">IF(T526&lt;P526,"BeforeTime",IF(T526=P526,"Intime","Late"))</f>
        <v>Intime</v>
      </c>
      <c r="AA526" s="0" t="str">
        <f aca="false">TEXT(J526,"mmm")</f>
        <v>Jan</v>
      </c>
      <c r="AB526" s="0" t="e">
        <f aca="false">xlookup(L526,Products!A:A,Products!B:B,"")</f>
        <v>#NAME?</v>
      </c>
    </row>
    <row r="527" customFormat="false" ht="15" hidden="false" customHeight="false" outlineLevel="0" collapsed="false">
      <c r="A527" s="0" t="s">
        <v>792</v>
      </c>
      <c r="B527" s="0" t="s">
        <v>147</v>
      </c>
      <c r="C527" s="0" t="s">
        <v>105</v>
      </c>
      <c r="D527" s="0" t="n">
        <v>49</v>
      </c>
      <c r="E527" s="0" t="s">
        <v>36</v>
      </c>
      <c r="F527" s="0" t="s">
        <v>140</v>
      </c>
      <c r="G527" s="0" t="s">
        <v>2286</v>
      </c>
      <c r="H527" s="0" t="s">
        <v>2287</v>
      </c>
      <c r="I527" s="0" t="s">
        <v>2288</v>
      </c>
      <c r="J527" s="4" t="n">
        <v>46022</v>
      </c>
      <c r="K527" s="0" t="s">
        <v>2114</v>
      </c>
      <c r="L527" s="0" t="s">
        <v>72</v>
      </c>
      <c r="M527" s="5" t="n">
        <v>1299</v>
      </c>
      <c r="N527" s="0" t="n">
        <v>4</v>
      </c>
      <c r="O527" s="0" t="s">
        <v>91</v>
      </c>
      <c r="P527" s="0" t="n">
        <v>4</v>
      </c>
      <c r="Q527" s="5" t="n">
        <v>50</v>
      </c>
      <c r="R527" s="4" t="n">
        <v>46026</v>
      </c>
      <c r="S527" s="0" t="s">
        <v>1874</v>
      </c>
      <c r="T527" s="0" t="n">
        <f aca="false">R527-J527</f>
        <v>4</v>
      </c>
      <c r="U527" s="5" t="n">
        <f aca="false">M527*N527</f>
        <v>5196</v>
      </c>
      <c r="V527" s="6" t="n">
        <f aca="false">IF(O527="FLAT5",5%,IF(O527="FLAT10",10%,IF(O527="FLAT15",15%,IF(O527="FLAT20",20%,0))))</f>
        <v>0.1</v>
      </c>
      <c r="W527" s="5" t="n">
        <f aca="false">U527*(1-V527)</f>
        <v>4676.4</v>
      </c>
      <c r="X527" s="5" t="n">
        <f aca="false">W527+IF(O527="DEL0",0,Q527)</f>
        <v>4726.4</v>
      </c>
      <c r="Y527" s="0" t="str">
        <f aca="false">B527&amp;" "&amp;C527</f>
        <v>Pooja Bhat</v>
      </c>
      <c r="Z527" s="0" t="str">
        <f aca="false">IF(T527&lt;P527,"BeforeTime",IF(T527=P527,"Intime","Late"))</f>
        <v>Intime</v>
      </c>
      <c r="AA527" s="0" t="str">
        <f aca="false">TEXT(J527,"mmm")</f>
        <v>Dec</v>
      </c>
      <c r="AB527" s="0" t="e">
        <f aca="false">xlookup(L527,Products!A:A,Products!B:B,"")</f>
        <v>#NAME?</v>
      </c>
    </row>
    <row r="528" customFormat="false" ht="15" hidden="false" customHeight="false" outlineLevel="0" collapsed="false">
      <c r="A528" s="0" t="s">
        <v>1924</v>
      </c>
      <c r="B528" s="0" t="s">
        <v>294</v>
      </c>
      <c r="C528" s="0" t="s">
        <v>113</v>
      </c>
      <c r="D528" s="0" t="n">
        <v>56</v>
      </c>
      <c r="E528" s="0" t="s">
        <v>36</v>
      </c>
      <c r="F528" s="0" t="s">
        <v>160</v>
      </c>
      <c r="G528" s="0" t="s">
        <v>2289</v>
      </c>
      <c r="H528" s="0" t="s">
        <v>2290</v>
      </c>
      <c r="I528" s="0" t="s">
        <v>2291</v>
      </c>
      <c r="J528" s="4" t="n">
        <v>45738</v>
      </c>
      <c r="K528" s="0" t="s">
        <v>2292</v>
      </c>
      <c r="L528" s="0" t="s">
        <v>82</v>
      </c>
      <c r="M528" s="5" t="n">
        <v>1199</v>
      </c>
      <c r="N528" s="0" t="n">
        <v>1</v>
      </c>
      <c r="O528" s="0" t="s">
        <v>91</v>
      </c>
      <c r="P528" s="0" t="n">
        <v>4</v>
      </c>
      <c r="Q528" s="5" t="n">
        <v>120</v>
      </c>
      <c r="R528" s="4" t="n">
        <v>45745</v>
      </c>
      <c r="S528" s="0" t="s">
        <v>1653</v>
      </c>
      <c r="T528" s="0" t="n">
        <f aca="false">R528-J528</f>
        <v>7</v>
      </c>
      <c r="U528" s="5" t="n">
        <f aca="false">M528*N528</f>
        <v>1199</v>
      </c>
      <c r="V528" s="6" t="n">
        <f aca="false">IF(O528="FLAT5",5%,IF(O528="FLAT10",10%,IF(O528="FLAT15",15%,IF(O528="FLAT20",20%,0))))</f>
        <v>0.1</v>
      </c>
      <c r="W528" s="5" t="n">
        <f aca="false">U528*(1-V528)</f>
        <v>1079.1</v>
      </c>
      <c r="X528" s="5" t="n">
        <f aca="false">W528+IF(O528="DEL0",0,Q528)</f>
        <v>1199.1</v>
      </c>
      <c r="Y528" s="0" t="str">
        <f aca="false">B528&amp;" "&amp;C528</f>
        <v>Aditya Rao</v>
      </c>
      <c r="Z528" s="0" t="str">
        <f aca="false">IF(T528&lt;P528,"BeforeTime",IF(T528=P528,"Intime","Late"))</f>
        <v>Late</v>
      </c>
      <c r="AA528" s="0" t="str">
        <f aca="false">TEXT(J528,"mmm")</f>
        <v>Mar</v>
      </c>
      <c r="AB528" s="0" t="e">
        <f aca="false">xlookup(L528,Products!A:A,Products!B:B,"")</f>
        <v>#NAME?</v>
      </c>
    </row>
    <row r="529" customFormat="false" ht="15" hidden="false" customHeight="false" outlineLevel="0" collapsed="false">
      <c r="A529" s="0" t="s">
        <v>343</v>
      </c>
      <c r="B529" s="0" t="s">
        <v>67</v>
      </c>
      <c r="C529" s="0" t="s">
        <v>76</v>
      </c>
      <c r="D529" s="0" t="n">
        <v>26</v>
      </c>
      <c r="E529" s="0" t="s">
        <v>48</v>
      </c>
      <c r="F529" s="0" t="s">
        <v>160</v>
      </c>
      <c r="G529" s="0" t="s">
        <v>2293</v>
      </c>
      <c r="H529" s="0" t="s">
        <v>1719</v>
      </c>
      <c r="I529" s="0" t="s">
        <v>2294</v>
      </c>
      <c r="J529" s="4" t="n">
        <v>45917</v>
      </c>
      <c r="K529" s="0" t="s">
        <v>279</v>
      </c>
      <c r="L529" s="0" t="s">
        <v>53</v>
      </c>
      <c r="M529" s="5" t="n">
        <v>2499</v>
      </c>
      <c r="N529" s="0" t="n">
        <v>2</v>
      </c>
      <c r="O529" s="0" t="s">
        <v>91</v>
      </c>
      <c r="P529" s="0" t="n">
        <v>2</v>
      </c>
      <c r="Q529" s="5" t="n">
        <v>40</v>
      </c>
      <c r="R529" s="4" t="n">
        <v>45919</v>
      </c>
      <c r="S529" s="0" t="s">
        <v>1095</v>
      </c>
      <c r="T529" s="0" t="n">
        <f aca="false">R529-J529</f>
        <v>2</v>
      </c>
      <c r="U529" s="5" t="n">
        <f aca="false">M529*N529</f>
        <v>4998</v>
      </c>
      <c r="V529" s="6" t="n">
        <f aca="false">IF(O529="FLAT5",5%,IF(O529="FLAT10",10%,IF(O529="FLAT15",15%,IF(O529="FLAT20",20%,0))))</f>
        <v>0.1</v>
      </c>
      <c r="W529" s="5" t="n">
        <f aca="false">U529*(1-V529)</f>
        <v>4498.2</v>
      </c>
      <c r="X529" s="5" t="n">
        <f aca="false">W529+IF(O529="DEL0",0,Q529)</f>
        <v>4538.2</v>
      </c>
      <c r="Y529" s="0" t="str">
        <f aca="false">B529&amp;" "&amp;C529</f>
        <v>Priya Patel</v>
      </c>
      <c r="Z529" s="0" t="str">
        <f aca="false">IF(T529&lt;P529,"BeforeTime",IF(T529=P529,"Intime","Late"))</f>
        <v>Intime</v>
      </c>
      <c r="AA529" s="0" t="str">
        <f aca="false">TEXT(J529,"mmm")</f>
        <v>Sep</v>
      </c>
      <c r="AB529" s="0" t="e">
        <f aca="false">xlookup(L529,Products!A:A,Products!B:B,"")</f>
        <v>#NAME?</v>
      </c>
    </row>
    <row r="530" customFormat="false" ht="15" hidden="false" customHeight="false" outlineLevel="0" collapsed="false">
      <c r="A530" s="0" t="s">
        <v>242</v>
      </c>
      <c r="B530" s="0" t="s">
        <v>188</v>
      </c>
      <c r="C530" s="0" t="s">
        <v>58</v>
      </c>
      <c r="D530" s="0" t="n">
        <v>22</v>
      </c>
      <c r="E530" s="0" t="s">
        <v>36</v>
      </c>
      <c r="F530" s="0" t="s">
        <v>114</v>
      </c>
      <c r="G530" s="0" t="s">
        <v>2295</v>
      </c>
      <c r="H530" s="0" t="s">
        <v>2296</v>
      </c>
      <c r="I530" s="0" t="s">
        <v>2297</v>
      </c>
      <c r="J530" s="4" t="n">
        <v>45895</v>
      </c>
      <c r="K530" s="0" t="s">
        <v>670</v>
      </c>
      <c r="L530" s="0" t="s">
        <v>129</v>
      </c>
      <c r="M530" s="5" t="n">
        <v>2999</v>
      </c>
      <c r="N530" s="0" t="n">
        <v>2</v>
      </c>
      <c r="O530" s="0" t="s">
        <v>91</v>
      </c>
      <c r="P530" s="0" t="n">
        <v>5</v>
      </c>
      <c r="Q530" s="5" t="n">
        <v>40</v>
      </c>
      <c r="R530" s="4" t="n">
        <v>45900</v>
      </c>
      <c r="S530" s="0" t="s">
        <v>304</v>
      </c>
      <c r="T530" s="0" t="n">
        <f aca="false">R530-J530</f>
        <v>5</v>
      </c>
      <c r="U530" s="5" t="n">
        <f aca="false">M530*N530</f>
        <v>5998</v>
      </c>
      <c r="V530" s="6" t="n">
        <f aca="false">IF(O530="FLAT5",5%,IF(O530="FLAT10",10%,IF(O530="FLAT15",15%,IF(O530="FLAT20",20%,0))))</f>
        <v>0.1</v>
      </c>
      <c r="W530" s="5" t="n">
        <f aca="false">U530*(1-V530)</f>
        <v>5398.2</v>
      </c>
      <c r="X530" s="5" t="n">
        <f aca="false">W530+IF(O530="DEL0",0,Q530)</f>
        <v>5438.2</v>
      </c>
      <c r="Y530" s="0" t="str">
        <f aca="false">B530&amp;" "&amp;C530</f>
        <v>Rohan Iyer</v>
      </c>
      <c r="Z530" s="0" t="str">
        <f aca="false">IF(T530&lt;P530,"BeforeTime",IF(T530=P530,"Intime","Late"))</f>
        <v>Intime</v>
      </c>
      <c r="AA530" s="0" t="str">
        <f aca="false">TEXT(J530,"mmm")</f>
        <v>Aug</v>
      </c>
      <c r="AB530" s="0" t="e">
        <f aca="false">xlookup(L530,Products!A:A,Products!B:B,"")</f>
        <v>#NAME?</v>
      </c>
    </row>
    <row r="531" customFormat="false" ht="15" hidden="false" customHeight="false" outlineLevel="0" collapsed="false">
      <c r="A531" s="0" t="s">
        <v>1711</v>
      </c>
      <c r="B531" s="0" t="s">
        <v>75</v>
      </c>
      <c r="C531" s="0" t="s">
        <v>113</v>
      </c>
      <c r="D531" s="0" t="n">
        <v>30</v>
      </c>
      <c r="E531" s="0" t="s">
        <v>36</v>
      </c>
      <c r="F531" s="0" t="s">
        <v>124</v>
      </c>
      <c r="G531" s="0" t="s">
        <v>2298</v>
      </c>
      <c r="H531" s="0" t="s">
        <v>560</v>
      </c>
      <c r="I531" s="0" t="s">
        <v>2299</v>
      </c>
      <c r="J531" s="4" t="n">
        <v>45931</v>
      </c>
      <c r="K531" s="0" t="s">
        <v>2300</v>
      </c>
      <c r="L531" s="0" t="s">
        <v>129</v>
      </c>
      <c r="M531" s="5" t="n">
        <v>2999</v>
      </c>
      <c r="N531" s="0" t="n">
        <v>2</v>
      </c>
      <c r="O531" s="0" t="s">
        <v>91</v>
      </c>
      <c r="P531" s="0" t="n">
        <v>7</v>
      </c>
      <c r="Q531" s="5" t="n">
        <v>40</v>
      </c>
      <c r="R531" s="4" t="n">
        <v>45938</v>
      </c>
      <c r="S531" s="0" t="s">
        <v>485</v>
      </c>
      <c r="T531" s="0" t="n">
        <f aca="false">R531-J531</f>
        <v>7</v>
      </c>
      <c r="U531" s="5" t="n">
        <f aca="false">M531*N531</f>
        <v>5998</v>
      </c>
      <c r="V531" s="6" t="n">
        <f aca="false">IF(O531="FLAT5",5%,IF(O531="FLAT10",10%,IF(O531="FLAT15",15%,IF(O531="FLAT20",20%,0))))</f>
        <v>0.1</v>
      </c>
      <c r="W531" s="5" t="n">
        <f aca="false">U531*(1-V531)</f>
        <v>5398.2</v>
      </c>
      <c r="X531" s="5" t="n">
        <f aca="false">W531+IF(O531="DEL0",0,Q531)</f>
        <v>5438.2</v>
      </c>
      <c r="Y531" s="0" t="str">
        <f aca="false">B531&amp;" "&amp;C531</f>
        <v>Vikram Rao</v>
      </c>
      <c r="Z531" s="0" t="str">
        <f aca="false">IF(T531&lt;P531,"BeforeTime",IF(T531=P531,"Intime","Late"))</f>
        <v>Intime</v>
      </c>
      <c r="AA531" s="0" t="str">
        <f aca="false">TEXT(J531,"mmm")</f>
        <v>Oct</v>
      </c>
      <c r="AB531" s="0" t="e">
        <f aca="false">xlookup(L531,Products!A:A,Products!B:B,"")</f>
        <v>#NAME?</v>
      </c>
    </row>
    <row r="532" customFormat="false" ht="15" hidden="false" customHeight="false" outlineLevel="0" collapsed="false">
      <c r="A532" s="0" t="s">
        <v>2301</v>
      </c>
      <c r="B532" s="0" t="s">
        <v>67</v>
      </c>
      <c r="C532" s="0" t="s">
        <v>113</v>
      </c>
      <c r="D532" s="0" t="n">
        <v>33</v>
      </c>
      <c r="E532" s="0" t="s">
        <v>36</v>
      </c>
      <c r="F532" s="0" t="s">
        <v>77</v>
      </c>
      <c r="G532" s="0" t="s">
        <v>2302</v>
      </c>
      <c r="H532" s="0" t="s">
        <v>1252</v>
      </c>
      <c r="I532" s="0" t="s">
        <v>2303</v>
      </c>
      <c r="J532" s="4" t="n">
        <v>45983</v>
      </c>
      <c r="K532" s="0" t="s">
        <v>1071</v>
      </c>
      <c r="L532" s="0" t="s">
        <v>100</v>
      </c>
      <c r="M532" s="5" t="n">
        <v>999</v>
      </c>
      <c r="N532" s="0" t="n">
        <v>4</v>
      </c>
      <c r="O532" s="0" t="s">
        <v>54</v>
      </c>
      <c r="P532" s="0" t="n">
        <v>6</v>
      </c>
      <c r="Q532" s="5" t="n">
        <v>0</v>
      </c>
      <c r="R532" s="4" t="n">
        <v>45989</v>
      </c>
      <c r="S532" s="0" t="s">
        <v>1075</v>
      </c>
      <c r="T532" s="0" t="n">
        <f aca="false">R532-J532</f>
        <v>6</v>
      </c>
      <c r="U532" s="5" t="n">
        <f aca="false">M532*N532</f>
        <v>3996</v>
      </c>
      <c r="V532" s="6" t="n">
        <f aca="false">IF(O532="FLAT5",5%,IF(O532="FLAT10",10%,IF(O532="FLAT15",15%,IF(O532="FLAT20",20%,0))))</f>
        <v>0</v>
      </c>
      <c r="W532" s="5" t="n">
        <f aca="false">U532*(1-V532)</f>
        <v>3996</v>
      </c>
      <c r="X532" s="5" t="n">
        <f aca="false">W532+IF(O532="DEL0",0,Q532)</f>
        <v>3996</v>
      </c>
      <c r="Y532" s="0" t="str">
        <f aca="false">B532&amp;" "&amp;C532</f>
        <v>Priya Rao</v>
      </c>
      <c r="Z532" s="0" t="str">
        <f aca="false">IF(T532&lt;P532,"BeforeTime",IF(T532=P532,"Intime","Late"))</f>
        <v>Intime</v>
      </c>
      <c r="AA532" s="0" t="str">
        <f aca="false">TEXT(J532,"mmm")</f>
        <v>Nov</v>
      </c>
      <c r="AB532" s="0" t="e">
        <f aca="false">xlookup(L532,Products!A:A,Products!B:B,"")</f>
        <v>#NAME?</v>
      </c>
    </row>
    <row r="533" customFormat="false" ht="15" hidden="false" customHeight="false" outlineLevel="0" collapsed="false">
      <c r="A533" s="0" t="s">
        <v>422</v>
      </c>
      <c r="B533" s="0" t="s">
        <v>174</v>
      </c>
      <c r="C533" s="0" t="s">
        <v>35</v>
      </c>
      <c r="D533" s="0" t="n">
        <v>23</v>
      </c>
      <c r="E533" s="0" t="s">
        <v>48</v>
      </c>
      <c r="F533" s="0" t="s">
        <v>37</v>
      </c>
      <c r="G533" s="0" t="s">
        <v>2304</v>
      </c>
      <c r="H533" s="0" t="s">
        <v>1974</v>
      </c>
      <c r="I533" s="0" t="s">
        <v>2305</v>
      </c>
      <c r="J533" s="4" t="n">
        <v>45760</v>
      </c>
      <c r="K533" s="0" t="s">
        <v>2306</v>
      </c>
      <c r="L533" s="0" t="s">
        <v>100</v>
      </c>
      <c r="M533" s="5" t="n">
        <v>999</v>
      </c>
      <c r="N533" s="0" t="n">
        <v>3</v>
      </c>
      <c r="O533" s="0" t="s">
        <v>259</v>
      </c>
      <c r="P533" s="0" t="n">
        <v>2</v>
      </c>
      <c r="Q533" s="5" t="n">
        <v>40</v>
      </c>
      <c r="R533" s="4" t="n">
        <v>45761</v>
      </c>
      <c r="S533" s="0" t="s">
        <v>2307</v>
      </c>
      <c r="T533" s="0" t="n">
        <f aca="false">R533-J533</f>
        <v>1</v>
      </c>
      <c r="U533" s="5" t="n">
        <f aca="false">M533*N533</f>
        <v>2997</v>
      </c>
      <c r="V533" s="6" t="n">
        <f aca="false">IF(O533="FLAT5",5%,IF(O533="FLAT10",10%,IF(O533="FLAT15",15%,IF(O533="FLAT20",20%,0))))</f>
        <v>0</v>
      </c>
      <c r="W533" s="5" t="n">
        <f aca="false">U533*(1-V533)</f>
        <v>2997</v>
      </c>
      <c r="X533" s="5" t="n">
        <f aca="false">W533+IF(O533="DEL0",0,Q533)</f>
        <v>3037</v>
      </c>
      <c r="Y533" s="0" t="str">
        <f aca="false">B533&amp;" "&amp;C533</f>
        <v>Ananya Sharma</v>
      </c>
      <c r="Z533" s="0" t="str">
        <f aca="false">IF(T533&lt;P533,"BeforeTime",IF(T533=P533,"Intime","Late"))</f>
        <v>BeforeTime</v>
      </c>
      <c r="AA533" s="0" t="str">
        <f aca="false">TEXT(J533,"mmm")</f>
        <v>Apr</v>
      </c>
      <c r="AB533" s="0" t="e">
        <f aca="false">xlookup(L533,Products!A:A,Products!B:B,"")</f>
        <v>#NAME?</v>
      </c>
    </row>
    <row r="534" customFormat="false" ht="15" hidden="false" customHeight="false" outlineLevel="0" collapsed="false">
      <c r="A534" s="0" t="s">
        <v>2238</v>
      </c>
      <c r="B534" s="0" t="s">
        <v>34</v>
      </c>
      <c r="C534" s="0" t="s">
        <v>113</v>
      </c>
      <c r="D534" s="0" t="n">
        <v>30</v>
      </c>
      <c r="E534" s="0" t="s">
        <v>36</v>
      </c>
      <c r="F534" s="0" t="s">
        <v>160</v>
      </c>
      <c r="G534" s="0" t="s">
        <v>2308</v>
      </c>
      <c r="H534" s="0" t="s">
        <v>2309</v>
      </c>
      <c r="I534" s="0" t="s">
        <v>2310</v>
      </c>
      <c r="J534" s="4" t="n">
        <v>45823</v>
      </c>
      <c r="K534" s="0" t="s">
        <v>1380</v>
      </c>
      <c r="L534" s="0" t="s">
        <v>240</v>
      </c>
      <c r="M534" s="5" t="n">
        <v>4999</v>
      </c>
      <c r="N534" s="0" t="n">
        <v>1</v>
      </c>
      <c r="O534" s="0" t="s">
        <v>54</v>
      </c>
      <c r="P534" s="0" t="n">
        <v>6</v>
      </c>
      <c r="Q534" s="5" t="n">
        <v>0</v>
      </c>
      <c r="R534" s="4" t="n">
        <v>45829</v>
      </c>
      <c r="S534" s="0" t="s">
        <v>2307</v>
      </c>
      <c r="T534" s="0" t="n">
        <f aca="false">R534-J534</f>
        <v>6</v>
      </c>
      <c r="U534" s="5" t="n">
        <f aca="false">M534*N534</f>
        <v>4999</v>
      </c>
      <c r="V534" s="6" t="n">
        <f aca="false">IF(O534="FLAT5",5%,IF(O534="FLAT10",10%,IF(O534="FLAT15",15%,IF(O534="FLAT20",20%,0))))</f>
        <v>0</v>
      </c>
      <c r="W534" s="5" t="n">
        <f aca="false">U534*(1-V534)</f>
        <v>4999</v>
      </c>
      <c r="X534" s="5" t="n">
        <f aca="false">W534+IF(O534="DEL0",0,Q534)</f>
        <v>4999</v>
      </c>
      <c r="Y534" s="0" t="str">
        <f aca="false">B534&amp;" "&amp;C534</f>
        <v>Diya Rao</v>
      </c>
      <c r="Z534" s="0" t="str">
        <f aca="false">IF(T534&lt;P534,"BeforeTime",IF(T534=P534,"Intime","Late"))</f>
        <v>Intime</v>
      </c>
      <c r="AA534" s="0" t="str">
        <f aca="false">TEXT(J534,"mmm")</f>
        <v>Jun</v>
      </c>
      <c r="AB534" s="0" t="e">
        <f aca="false">xlookup(L534,Products!A:A,Products!B:B,"")</f>
        <v>#NAME?</v>
      </c>
    </row>
    <row r="535" customFormat="false" ht="15" hidden="false" customHeight="false" outlineLevel="0" collapsed="false">
      <c r="A535" s="0" t="s">
        <v>1828</v>
      </c>
      <c r="B535" s="0" t="s">
        <v>188</v>
      </c>
      <c r="C535" s="0" t="s">
        <v>261</v>
      </c>
      <c r="D535" s="0" t="n">
        <v>42</v>
      </c>
      <c r="E535" s="0" t="s">
        <v>48</v>
      </c>
      <c r="F535" s="0" t="s">
        <v>262</v>
      </c>
      <c r="G535" s="0" t="s">
        <v>2311</v>
      </c>
      <c r="H535" s="0" t="s">
        <v>2312</v>
      </c>
      <c r="I535" s="0" t="s">
        <v>2313</v>
      </c>
      <c r="J535" s="4" t="n">
        <v>45664</v>
      </c>
      <c r="K535" s="0" t="s">
        <v>1545</v>
      </c>
      <c r="L535" s="0" t="s">
        <v>110</v>
      </c>
      <c r="M535" s="5" t="n">
        <v>1499</v>
      </c>
      <c r="N535" s="0" t="n">
        <v>4</v>
      </c>
      <c r="O535" s="0" t="s">
        <v>43</v>
      </c>
      <c r="P535" s="0" t="n">
        <v>5</v>
      </c>
      <c r="Q535" s="5" t="n">
        <v>50</v>
      </c>
      <c r="R535" s="4" t="n">
        <v>45669</v>
      </c>
      <c r="S535" s="0" t="s">
        <v>1999</v>
      </c>
      <c r="T535" s="0" t="n">
        <f aca="false">R535-J535</f>
        <v>5</v>
      </c>
      <c r="U535" s="5" t="n">
        <f aca="false">M535*N535</f>
        <v>5996</v>
      </c>
      <c r="V535" s="6" t="n">
        <f aca="false">IF(O535="FLAT5",5%,IF(O535="FLAT10",10%,IF(O535="FLAT15",15%,IF(O535="FLAT20",20%,0))))</f>
        <v>0.2</v>
      </c>
      <c r="W535" s="5" t="n">
        <f aca="false">U535*(1-V535)</f>
        <v>4796.8</v>
      </c>
      <c r="X535" s="5" t="n">
        <f aca="false">W535+IF(O535="DEL0",0,Q535)</f>
        <v>4846.8</v>
      </c>
      <c r="Y535" s="0" t="str">
        <f aca="false">B535&amp;" "&amp;C535</f>
        <v>Rohan Kumar</v>
      </c>
      <c r="Z535" s="0" t="str">
        <f aca="false">IF(T535&lt;P535,"BeforeTime",IF(T535=P535,"Intime","Late"))</f>
        <v>Intime</v>
      </c>
      <c r="AA535" s="0" t="str">
        <f aca="false">TEXT(J535,"mmm")</f>
        <v>Jan</v>
      </c>
      <c r="AB535" s="0" t="e">
        <f aca="false">xlookup(L535,Products!A:A,Products!B:B,"")</f>
        <v>#NAME?</v>
      </c>
    </row>
    <row r="536" customFormat="false" ht="15" hidden="false" customHeight="false" outlineLevel="0" collapsed="false">
      <c r="A536" s="0" t="s">
        <v>455</v>
      </c>
      <c r="B536" s="0" t="s">
        <v>57</v>
      </c>
      <c r="C536" s="0" t="s">
        <v>47</v>
      </c>
      <c r="D536" s="0" t="n">
        <v>46</v>
      </c>
      <c r="E536" s="0" t="s">
        <v>48</v>
      </c>
      <c r="F536" s="0" t="s">
        <v>124</v>
      </c>
      <c r="G536" s="0" t="s">
        <v>2314</v>
      </c>
      <c r="H536" s="0" t="s">
        <v>2315</v>
      </c>
      <c r="I536" s="0" t="s">
        <v>2316</v>
      </c>
      <c r="J536" s="4" t="n">
        <v>45949</v>
      </c>
      <c r="K536" s="0" t="s">
        <v>2317</v>
      </c>
      <c r="L536" s="0" t="s">
        <v>53</v>
      </c>
      <c r="M536" s="5" t="n">
        <v>2499</v>
      </c>
      <c r="N536" s="0" t="n">
        <v>1</v>
      </c>
      <c r="O536" s="0" t="s">
        <v>54</v>
      </c>
      <c r="P536" s="0" t="n">
        <v>3</v>
      </c>
      <c r="Q536" s="5" t="n">
        <v>0</v>
      </c>
      <c r="R536" s="4" t="n">
        <v>45952</v>
      </c>
      <c r="S536" s="0" t="s">
        <v>962</v>
      </c>
      <c r="T536" s="0" t="n">
        <f aca="false">R536-J536</f>
        <v>3</v>
      </c>
      <c r="U536" s="5" t="n">
        <f aca="false">M536*N536</f>
        <v>2499</v>
      </c>
      <c r="V536" s="6" t="n">
        <f aca="false">IF(O536="FLAT5",5%,IF(O536="FLAT10",10%,IF(O536="FLAT15",15%,IF(O536="FLAT20",20%,0))))</f>
        <v>0</v>
      </c>
      <c r="W536" s="5" t="n">
        <f aca="false">U536*(1-V536)</f>
        <v>2499</v>
      </c>
      <c r="X536" s="5" t="n">
        <f aca="false">W536+IF(O536="DEL0",0,Q536)</f>
        <v>2499</v>
      </c>
      <c r="Y536" s="0" t="str">
        <f aca="false">B536&amp;" "&amp;C536</f>
        <v>Arjun Verma</v>
      </c>
      <c r="Z536" s="0" t="str">
        <f aca="false">IF(T536&lt;P536,"BeforeTime",IF(T536=P536,"Intime","Late"))</f>
        <v>Intime</v>
      </c>
      <c r="AA536" s="0" t="str">
        <f aca="false">TEXT(J536,"mmm")</f>
        <v>Oct</v>
      </c>
      <c r="AB536" s="0" t="e">
        <f aca="false">xlookup(L536,Products!A:A,Products!B:B,"")</f>
        <v>#NAME?</v>
      </c>
    </row>
    <row r="537" customFormat="false" ht="15" hidden="false" customHeight="false" outlineLevel="0" collapsed="false">
      <c r="A537" s="0" t="s">
        <v>839</v>
      </c>
      <c r="B537" s="0" t="s">
        <v>209</v>
      </c>
      <c r="C537" s="0" t="s">
        <v>229</v>
      </c>
      <c r="D537" s="0" t="n">
        <v>31</v>
      </c>
      <c r="E537" s="0" t="s">
        <v>48</v>
      </c>
      <c r="F537" s="0" t="s">
        <v>248</v>
      </c>
      <c r="G537" s="0" t="s">
        <v>2318</v>
      </c>
      <c r="H537" s="0" t="s">
        <v>1069</v>
      </c>
      <c r="I537" s="0" t="s">
        <v>2319</v>
      </c>
      <c r="J537" s="4" t="n">
        <v>45957</v>
      </c>
      <c r="K537" s="0" t="s">
        <v>1884</v>
      </c>
      <c r="L537" s="0" t="s">
        <v>129</v>
      </c>
      <c r="M537" s="5" t="n">
        <v>2999</v>
      </c>
      <c r="N537" s="0" t="n">
        <v>3</v>
      </c>
      <c r="O537" s="0" t="s">
        <v>83</v>
      </c>
      <c r="P537" s="0" t="n">
        <v>5</v>
      </c>
      <c r="Q537" s="5" t="n">
        <v>120</v>
      </c>
      <c r="R537" s="4" t="n">
        <v>45962</v>
      </c>
      <c r="S537" s="0" t="s">
        <v>366</v>
      </c>
      <c r="T537" s="0" t="n">
        <f aca="false">R537-J537</f>
        <v>5</v>
      </c>
      <c r="U537" s="5" t="n">
        <f aca="false">M537*N537</f>
        <v>8997</v>
      </c>
      <c r="V537" s="6" t="n">
        <f aca="false">IF(O537="FLAT5",5%,IF(O537="FLAT10",10%,IF(O537="FLAT15",15%,IF(O537="FLAT20",20%,0))))</f>
        <v>0.05</v>
      </c>
      <c r="W537" s="5" t="n">
        <f aca="false">U537*(1-V537)</f>
        <v>8547.15</v>
      </c>
      <c r="X537" s="5" t="n">
        <f aca="false">W537+IF(O537="DEL0",0,Q537)</f>
        <v>8667.15</v>
      </c>
      <c r="Y537" s="0" t="str">
        <f aca="false">B537&amp;" "&amp;C537</f>
        <v>Ishaan Joshi</v>
      </c>
      <c r="Z537" s="0" t="str">
        <f aca="false">IF(T537&lt;P537,"BeforeTime",IF(T537=P537,"Intime","Late"))</f>
        <v>Intime</v>
      </c>
      <c r="AA537" s="0" t="str">
        <f aca="false">TEXT(J537,"mmm")</f>
        <v>Oct</v>
      </c>
      <c r="AB537" s="0" t="e">
        <f aca="false">xlookup(L537,Products!A:A,Products!B:B,"")</f>
        <v>#NAME?</v>
      </c>
    </row>
    <row r="538" customFormat="false" ht="15" hidden="false" customHeight="false" outlineLevel="0" collapsed="false">
      <c r="A538" s="0" t="s">
        <v>1793</v>
      </c>
      <c r="B538" s="0" t="s">
        <v>139</v>
      </c>
      <c r="C538" s="0" t="s">
        <v>261</v>
      </c>
      <c r="D538" s="0" t="n">
        <v>39</v>
      </c>
      <c r="E538" s="0" t="s">
        <v>36</v>
      </c>
      <c r="F538" s="0" t="s">
        <v>160</v>
      </c>
      <c r="G538" s="0" t="s">
        <v>2320</v>
      </c>
      <c r="H538" s="0" t="s">
        <v>2321</v>
      </c>
      <c r="I538" s="0" t="s">
        <v>2322</v>
      </c>
      <c r="J538" s="4" t="n">
        <v>45849</v>
      </c>
      <c r="K538" s="0" t="s">
        <v>938</v>
      </c>
      <c r="L538" s="0" t="s">
        <v>100</v>
      </c>
      <c r="M538" s="5" t="n">
        <v>999</v>
      </c>
      <c r="N538" s="0" t="n">
        <v>1</v>
      </c>
      <c r="O538" s="0" t="s">
        <v>83</v>
      </c>
      <c r="P538" s="0" t="n">
        <v>5</v>
      </c>
      <c r="Q538" s="5" t="n">
        <v>50</v>
      </c>
      <c r="R538" s="4" t="n">
        <v>45854</v>
      </c>
      <c r="S538" s="0" t="s">
        <v>2064</v>
      </c>
      <c r="T538" s="0" t="n">
        <f aca="false">R538-J538</f>
        <v>5</v>
      </c>
      <c r="U538" s="5" t="n">
        <f aca="false">M538*N538</f>
        <v>999</v>
      </c>
      <c r="V538" s="6" t="n">
        <f aca="false">IF(O538="FLAT5",5%,IF(O538="FLAT10",10%,IF(O538="FLAT15",15%,IF(O538="FLAT20",20%,0))))</f>
        <v>0.05</v>
      </c>
      <c r="W538" s="5" t="n">
        <f aca="false">U538*(1-V538)</f>
        <v>949.05</v>
      </c>
      <c r="X538" s="5" t="n">
        <f aca="false">W538+IF(O538="DEL0",0,Q538)</f>
        <v>999.05</v>
      </c>
      <c r="Y538" s="0" t="str">
        <f aca="false">B538&amp;" "&amp;C538</f>
        <v>Aarav Kumar</v>
      </c>
      <c r="Z538" s="0" t="str">
        <f aca="false">IF(T538&lt;P538,"BeforeTime",IF(T538=P538,"Intime","Late"))</f>
        <v>Intime</v>
      </c>
      <c r="AA538" s="0" t="str">
        <f aca="false">TEXT(J538,"mmm")</f>
        <v>Jul</v>
      </c>
      <c r="AB538" s="0" t="e">
        <f aca="false">xlookup(L538,Products!A:A,Products!B:B,"")</f>
        <v>#NAME?</v>
      </c>
    </row>
    <row r="539" customFormat="false" ht="15" hidden="false" customHeight="false" outlineLevel="0" collapsed="false">
      <c r="A539" s="0" t="s">
        <v>522</v>
      </c>
      <c r="B539" s="0" t="s">
        <v>394</v>
      </c>
      <c r="C539" s="0" t="s">
        <v>229</v>
      </c>
      <c r="D539" s="0" t="n">
        <v>28</v>
      </c>
      <c r="E539" s="0" t="s">
        <v>48</v>
      </c>
      <c r="F539" s="0" t="s">
        <v>59</v>
      </c>
      <c r="G539" s="0" t="s">
        <v>2323</v>
      </c>
      <c r="H539" s="0" t="s">
        <v>2324</v>
      </c>
      <c r="I539" s="0" t="s">
        <v>2325</v>
      </c>
      <c r="J539" s="4" t="n">
        <v>45870</v>
      </c>
      <c r="K539" s="0" t="s">
        <v>1451</v>
      </c>
      <c r="L539" s="0" t="s">
        <v>119</v>
      </c>
      <c r="M539" s="5" t="n">
        <v>899</v>
      </c>
      <c r="N539" s="0" t="n">
        <v>1</v>
      </c>
      <c r="O539" s="0" t="s">
        <v>101</v>
      </c>
      <c r="P539" s="0" t="n">
        <v>7</v>
      </c>
      <c r="Q539" s="5" t="n">
        <v>50</v>
      </c>
      <c r="R539" s="4" t="n">
        <v>45878</v>
      </c>
      <c r="S539" s="0" t="s">
        <v>470</v>
      </c>
      <c r="T539" s="0" t="n">
        <f aca="false">R539-J539</f>
        <v>8</v>
      </c>
      <c r="U539" s="5" t="n">
        <f aca="false">M539*N539</f>
        <v>899</v>
      </c>
      <c r="V539" s="6" t="n">
        <f aca="false">IF(O539="FLAT5",5%,IF(O539="FLAT10",10%,IF(O539="FLAT15",15%,IF(O539="FLAT20",20%,0))))</f>
        <v>0.15</v>
      </c>
      <c r="W539" s="5" t="n">
        <f aca="false">U539*(1-V539)</f>
        <v>764.15</v>
      </c>
      <c r="X539" s="5" t="n">
        <f aca="false">W539+IF(O539="DEL0",0,Q539)</f>
        <v>814.15</v>
      </c>
      <c r="Y539" s="0" t="str">
        <f aca="false">B539&amp;" "&amp;C539</f>
        <v>Kiran Joshi</v>
      </c>
      <c r="Z539" s="0" t="str">
        <f aca="false">IF(T539&lt;P539,"BeforeTime",IF(T539=P539,"Intime","Late"))</f>
        <v>Late</v>
      </c>
      <c r="AA539" s="0" t="str">
        <f aca="false">TEXT(J539,"mmm")</f>
        <v>Aug</v>
      </c>
      <c r="AB539" s="0" t="e">
        <f aca="false">xlookup(L539,Products!A:A,Products!B:B,"")</f>
        <v>#NAME?</v>
      </c>
    </row>
    <row r="540" customFormat="false" ht="15" hidden="false" customHeight="false" outlineLevel="0" collapsed="false">
      <c r="A540" s="0" t="s">
        <v>393</v>
      </c>
      <c r="B540" s="0" t="s">
        <v>174</v>
      </c>
      <c r="C540" s="0" t="s">
        <v>123</v>
      </c>
      <c r="D540" s="0" t="n">
        <v>34</v>
      </c>
      <c r="E540" s="0" t="s">
        <v>48</v>
      </c>
      <c r="F540" s="0" t="s">
        <v>77</v>
      </c>
      <c r="G540" s="0" t="s">
        <v>2326</v>
      </c>
      <c r="H540" s="0" t="s">
        <v>2327</v>
      </c>
      <c r="I540" s="0" t="s">
        <v>2328</v>
      </c>
      <c r="J540" s="4" t="n">
        <v>45661</v>
      </c>
      <c r="K540" s="0" t="s">
        <v>1505</v>
      </c>
      <c r="L540" s="0" t="s">
        <v>391</v>
      </c>
      <c r="M540" s="5" t="n">
        <v>3499</v>
      </c>
      <c r="N540" s="0" t="n">
        <v>2</v>
      </c>
      <c r="O540" s="0" t="s">
        <v>101</v>
      </c>
      <c r="P540" s="0" t="n">
        <v>2</v>
      </c>
      <c r="Q540" s="5" t="n">
        <v>50</v>
      </c>
      <c r="R540" s="4" t="n">
        <v>45664</v>
      </c>
      <c r="S540" s="0" t="s">
        <v>1370</v>
      </c>
      <c r="T540" s="0" t="n">
        <f aca="false">R540-J540</f>
        <v>3</v>
      </c>
      <c r="U540" s="5" t="n">
        <f aca="false">M540*N540</f>
        <v>6998</v>
      </c>
      <c r="V540" s="6" t="n">
        <f aca="false">IF(O540="FLAT5",5%,IF(O540="FLAT10",10%,IF(O540="FLAT15",15%,IF(O540="FLAT20",20%,0))))</f>
        <v>0.15</v>
      </c>
      <c r="W540" s="5" t="n">
        <f aca="false">U540*(1-V540)</f>
        <v>5948.3</v>
      </c>
      <c r="X540" s="5" t="n">
        <f aca="false">W540+IF(O540="DEL0",0,Q540)</f>
        <v>5998.3</v>
      </c>
      <c r="Y540" s="0" t="str">
        <f aca="false">B540&amp;" "&amp;C540</f>
        <v>Ananya Nair</v>
      </c>
      <c r="Z540" s="0" t="str">
        <f aca="false">IF(T540&lt;P540,"BeforeTime",IF(T540=P540,"Intime","Late"))</f>
        <v>Late</v>
      </c>
      <c r="AA540" s="0" t="str">
        <f aca="false">TEXT(J540,"mmm")</f>
        <v>Jan</v>
      </c>
      <c r="AB540" s="0" t="e">
        <f aca="false">xlookup(L540,Products!A:A,Products!B:B,"")</f>
        <v>#NAME?</v>
      </c>
    </row>
    <row r="541" customFormat="false" ht="15" hidden="false" customHeight="false" outlineLevel="0" collapsed="false">
      <c r="A541" s="0" t="s">
        <v>1016</v>
      </c>
      <c r="B541" s="0" t="s">
        <v>94</v>
      </c>
      <c r="C541" s="0" t="s">
        <v>47</v>
      </c>
      <c r="D541" s="0" t="n">
        <v>35</v>
      </c>
      <c r="E541" s="0" t="s">
        <v>36</v>
      </c>
      <c r="F541" s="0" t="s">
        <v>160</v>
      </c>
      <c r="G541" s="0" t="s">
        <v>2329</v>
      </c>
      <c r="H541" s="0" t="s">
        <v>1081</v>
      </c>
      <c r="I541" s="0" t="s">
        <v>2330</v>
      </c>
      <c r="J541" s="4" t="n">
        <v>45759</v>
      </c>
      <c r="K541" s="0" t="s">
        <v>1743</v>
      </c>
      <c r="L541" s="0" t="s">
        <v>82</v>
      </c>
      <c r="M541" s="5" t="n">
        <v>1199</v>
      </c>
      <c r="N541" s="0" t="n">
        <v>4</v>
      </c>
      <c r="O541" s="0" t="s">
        <v>91</v>
      </c>
      <c r="P541" s="0" t="n">
        <v>3</v>
      </c>
      <c r="Q541" s="5" t="n">
        <v>90</v>
      </c>
      <c r="R541" s="4" t="n">
        <v>45762</v>
      </c>
      <c r="S541" s="0" t="s">
        <v>2331</v>
      </c>
      <c r="T541" s="0" t="n">
        <f aca="false">R541-J541</f>
        <v>3</v>
      </c>
      <c r="U541" s="5" t="n">
        <f aca="false">M541*N541</f>
        <v>4796</v>
      </c>
      <c r="V541" s="6" t="n">
        <f aca="false">IF(O541="FLAT5",5%,IF(O541="FLAT10",10%,IF(O541="FLAT15",15%,IF(O541="FLAT20",20%,0))))</f>
        <v>0.1</v>
      </c>
      <c r="W541" s="5" t="n">
        <f aca="false">U541*(1-V541)</f>
        <v>4316.4</v>
      </c>
      <c r="X541" s="5" t="n">
        <f aca="false">W541+IF(O541="DEL0",0,Q541)</f>
        <v>4406.4</v>
      </c>
      <c r="Y541" s="0" t="str">
        <f aca="false">B541&amp;" "&amp;C541</f>
        <v>Manoj Verma</v>
      </c>
      <c r="Z541" s="0" t="str">
        <f aca="false">IF(T541&lt;P541,"BeforeTime",IF(T541=P541,"Intime","Late"))</f>
        <v>Intime</v>
      </c>
      <c r="AA541" s="0" t="str">
        <f aca="false">TEXT(J541,"mmm")</f>
        <v>Apr</v>
      </c>
      <c r="AB541" s="0" t="e">
        <f aca="false">xlookup(L541,Products!A:A,Products!B:B,"")</f>
        <v>#NAME?</v>
      </c>
    </row>
    <row r="542" customFormat="false" ht="15" hidden="false" customHeight="false" outlineLevel="0" collapsed="false">
      <c r="A542" s="0" t="s">
        <v>1233</v>
      </c>
      <c r="B542" s="0" t="s">
        <v>75</v>
      </c>
      <c r="C542" s="0" t="s">
        <v>167</v>
      </c>
      <c r="D542" s="0" t="n">
        <v>25</v>
      </c>
      <c r="E542" s="0" t="s">
        <v>48</v>
      </c>
      <c r="F542" s="0" t="s">
        <v>160</v>
      </c>
      <c r="G542" s="0" t="s">
        <v>2332</v>
      </c>
      <c r="H542" s="0" t="s">
        <v>2333</v>
      </c>
      <c r="I542" s="0" t="s">
        <v>2334</v>
      </c>
      <c r="J542" s="4" t="n">
        <v>45874</v>
      </c>
      <c r="K542" s="0" t="s">
        <v>1066</v>
      </c>
      <c r="L542" s="0" t="s">
        <v>136</v>
      </c>
      <c r="M542" s="5" t="n">
        <v>1799</v>
      </c>
      <c r="N542" s="0" t="n">
        <v>2</v>
      </c>
      <c r="O542" s="0" t="s">
        <v>101</v>
      </c>
      <c r="P542" s="0" t="n">
        <v>6</v>
      </c>
      <c r="Q542" s="5" t="n">
        <v>75</v>
      </c>
      <c r="R542" s="4" t="n">
        <v>45880</v>
      </c>
      <c r="S542" s="0" t="s">
        <v>2021</v>
      </c>
      <c r="T542" s="0" t="n">
        <f aca="false">R542-J542</f>
        <v>6</v>
      </c>
      <c r="U542" s="5" t="n">
        <f aca="false">M542*N542</f>
        <v>3598</v>
      </c>
      <c r="V542" s="6" t="n">
        <f aca="false">IF(O542="FLAT5",5%,IF(O542="FLAT10",10%,IF(O542="FLAT15",15%,IF(O542="FLAT20",20%,0))))</f>
        <v>0.15</v>
      </c>
      <c r="W542" s="5" t="n">
        <f aca="false">U542*(1-V542)</f>
        <v>3058.3</v>
      </c>
      <c r="X542" s="5" t="n">
        <f aca="false">W542+IF(O542="DEL0",0,Q542)</f>
        <v>3133.3</v>
      </c>
      <c r="Y542" s="0" t="str">
        <f aca="false">B542&amp;" "&amp;C542</f>
        <v>Vikram Chowdhury</v>
      </c>
      <c r="Z542" s="0" t="str">
        <f aca="false">IF(T542&lt;P542,"BeforeTime",IF(T542=P542,"Intime","Late"))</f>
        <v>Intime</v>
      </c>
      <c r="AA542" s="0" t="str">
        <f aca="false">TEXT(J542,"mmm")</f>
        <v>Aug</v>
      </c>
      <c r="AB542" s="0" t="e">
        <f aca="false">xlookup(L542,Products!A:A,Products!B:B,"")</f>
        <v>#NAME?</v>
      </c>
    </row>
    <row r="543" customFormat="false" ht="15" hidden="false" customHeight="false" outlineLevel="0" collapsed="false">
      <c r="A543" s="0" t="s">
        <v>749</v>
      </c>
      <c r="B543" s="0" t="s">
        <v>57</v>
      </c>
      <c r="C543" s="0" t="s">
        <v>368</v>
      </c>
      <c r="D543" s="0" t="n">
        <v>58</v>
      </c>
      <c r="E543" s="0" t="s">
        <v>36</v>
      </c>
      <c r="F543" s="0" t="s">
        <v>77</v>
      </c>
      <c r="G543" s="0" t="s">
        <v>2335</v>
      </c>
      <c r="H543" s="0" t="s">
        <v>1978</v>
      </c>
      <c r="I543" s="0" t="s">
        <v>2336</v>
      </c>
      <c r="J543" s="4" t="n">
        <v>45895</v>
      </c>
      <c r="K543" s="0" t="s">
        <v>1118</v>
      </c>
      <c r="L543" s="0" t="s">
        <v>82</v>
      </c>
      <c r="M543" s="5" t="n">
        <v>1199</v>
      </c>
      <c r="N543" s="0" t="n">
        <v>2</v>
      </c>
      <c r="O543" s="0" t="s">
        <v>91</v>
      </c>
      <c r="P543" s="0" t="n">
        <v>4</v>
      </c>
      <c r="Q543" s="5" t="n">
        <v>75</v>
      </c>
      <c r="R543" s="4" t="n">
        <v>45899</v>
      </c>
      <c r="S543" s="0" t="s">
        <v>2337</v>
      </c>
      <c r="T543" s="0" t="n">
        <f aca="false">R543-J543</f>
        <v>4</v>
      </c>
      <c r="U543" s="5" t="n">
        <f aca="false">M543*N543</f>
        <v>2398</v>
      </c>
      <c r="V543" s="6" t="n">
        <f aca="false">IF(O543="FLAT5",5%,IF(O543="FLAT10",10%,IF(O543="FLAT15",15%,IF(O543="FLAT20",20%,0))))</f>
        <v>0.1</v>
      </c>
      <c r="W543" s="5" t="n">
        <f aca="false">U543*(1-V543)</f>
        <v>2158.2</v>
      </c>
      <c r="X543" s="5" t="n">
        <f aca="false">W543+IF(O543="DEL0",0,Q543)</f>
        <v>2233.2</v>
      </c>
      <c r="Y543" s="0" t="str">
        <f aca="false">B543&amp;" "&amp;C543</f>
        <v>Arjun Das</v>
      </c>
      <c r="Z543" s="0" t="str">
        <f aca="false">IF(T543&lt;P543,"BeforeTime",IF(T543=P543,"Intime","Late"))</f>
        <v>Intime</v>
      </c>
      <c r="AA543" s="0" t="str">
        <f aca="false">TEXT(J543,"mmm")</f>
        <v>Aug</v>
      </c>
      <c r="AB543" s="0" t="e">
        <f aca="false">xlookup(L543,Products!A:A,Products!B:B,"")</f>
        <v>#NAME?</v>
      </c>
    </row>
    <row r="544" customFormat="false" ht="15" hidden="false" customHeight="false" outlineLevel="0" collapsed="false">
      <c r="A544" s="0" t="s">
        <v>502</v>
      </c>
      <c r="B544" s="0" t="s">
        <v>147</v>
      </c>
      <c r="C544" s="0" t="s">
        <v>47</v>
      </c>
      <c r="D544" s="0" t="n">
        <v>29</v>
      </c>
      <c r="E544" s="0" t="s">
        <v>36</v>
      </c>
      <c r="F544" s="0" t="s">
        <v>202</v>
      </c>
      <c r="G544" s="0" t="s">
        <v>2338</v>
      </c>
      <c r="H544" s="0" t="s">
        <v>307</v>
      </c>
      <c r="I544" s="0" t="s">
        <v>2339</v>
      </c>
      <c r="J544" s="4" t="n">
        <v>45870</v>
      </c>
      <c r="K544" s="0" t="s">
        <v>1640</v>
      </c>
      <c r="L544" s="0" t="s">
        <v>110</v>
      </c>
      <c r="M544" s="5" t="n">
        <v>1499</v>
      </c>
      <c r="N544" s="0" t="n">
        <v>3</v>
      </c>
      <c r="O544" s="0" t="s">
        <v>101</v>
      </c>
      <c r="P544" s="0" t="n">
        <v>5</v>
      </c>
      <c r="Q544" s="5" t="n">
        <v>75</v>
      </c>
      <c r="R544" s="4" t="n">
        <v>45878</v>
      </c>
      <c r="S544" s="0" t="s">
        <v>2340</v>
      </c>
      <c r="T544" s="0" t="n">
        <f aca="false">R544-J544</f>
        <v>8</v>
      </c>
      <c r="U544" s="5" t="n">
        <f aca="false">M544*N544</f>
        <v>4497</v>
      </c>
      <c r="V544" s="6" t="n">
        <f aca="false">IF(O544="FLAT5",5%,IF(O544="FLAT10",10%,IF(O544="FLAT15",15%,IF(O544="FLAT20",20%,0))))</f>
        <v>0.15</v>
      </c>
      <c r="W544" s="5" t="n">
        <f aca="false">U544*(1-V544)</f>
        <v>3822.45</v>
      </c>
      <c r="X544" s="5" t="n">
        <f aca="false">W544+IF(O544="DEL0",0,Q544)</f>
        <v>3897.45</v>
      </c>
      <c r="Y544" s="0" t="str">
        <f aca="false">B544&amp;" "&amp;C544</f>
        <v>Pooja Verma</v>
      </c>
      <c r="Z544" s="0" t="str">
        <f aca="false">IF(T544&lt;P544,"BeforeTime",IF(T544=P544,"Intime","Late"))</f>
        <v>Late</v>
      </c>
      <c r="AA544" s="0" t="str">
        <f aca="false">TEXT(J544,"mmm")</f>
        <v>Aug</v>
      </c>
      <c r="AB544" s="0" t="e">
        <f aca="false">xlookup(L544,Products!A:A,Products!B:B,"")</f>
        <v>#NAME?</v>
      </c>
    </row>
    <row r="545" customFormat="false" ht="15" hidden="false" customHeight="false" outlineLevel="0" collapsed="false">
      <c r="A545" s="0" t="s">
        <v>66</v>
      </c>
      <c r="B545" s="0" t="s">
        <v>34</v>
      </c>
      <c r="C545" s="0" t="s">
        <v>58</v>
      </c>
      <c r="D545" s="0" t="n">
        <v>56</v>
      </c>
      <c r="E545" s="0" t="s">
        <v>36</v>
      </c>
      <c r="F545" s="0" t="s">
        <v>37</v>
      </c>
      <c r="G545" s="0" t="s">
        <v>2341</v>
      </c>
      <c r="H545" s="0" t="s">
        <v>483</v>
      </c>
      <c r="I545" s="0" t="s">
        <v>2342</v>
      </c>
      <c r="J545" s="4" t="n">
        <v>45836</v>
      </c>
      <c r="K545" s="0" t="s">
        <v>1648</v>
      </c>
      <c r="L545" s="0" t="s">
        <v>136</v>
      </c>
      <c r="M545" s="5" t="n">
        <v>1799</v>
      </c>
      <c r="N545" s="0" t="n">
        <v>3</v>
      </c>
      <c r="O545" s="0" t="s">
        <v>54</v>
      </c>
      <c r="P545" s="0" t="n">
        <v>6</v>
      </c>
      <c r="Q545" s="5" t="n">
        <v>0</v>
      </c>
      <c r="R545" s="4" t="n">
        <v>45842</v>
      </c>
      <c r="S545" s="0" t="s">
        <v>1067</v>
      </c>
      <c r="T545" s="0" t="n">
        <f aca="false">R545-J545</f>
        <v>6</v>
      </c>
      <c r="U545" s="5" t="n">
        <f aca="false">M545*N545</f>
        <v>5397</v>
      </c>
      <c r="V545" s="6" t="n">
        <f aca="false">IF(O545="FLAT5",5%,IF(O545="FLAT10",10%,IF(O545="FLAT15",15%,IF(O545="FLAT20",20%,0))))</f>
        <v>0</v>
      </c>
      <c r="W545" s="5" t="n">
        <f aca="false">U545*(1-V545)</f>
        <v>5397</v>
      </c>
      <c r="X545" s="5" t="n">
        <f aca="false">W545+IF(O545="DEL0",0,Q545)</f>
        <v>5397</v>
      </c>
      <c r="Y545" s="0" t="str">
        <f aca="false">B545&amp;" "&amp;C545</f>
        <v>Diya Iyer</v>
      </c>
      <c r="Z545" s="0" t="str">
        <f aca="false">IF(T545&lt;P545,"BeforeTime",IF(T545=P545,"Intime","Late"))</f>
        <v>Intime</v>
      </c>
      <c r="AA545" s="0" t="str">
        <f aca="false">TEXT(J545,"mmm")</f>
        <v>Jun</v>
      </c>
      <c r="AB545" s="0" t="e">
        <f aca="false">xlookup(L545,Products!A:A,Products!B:B,"")</f>
        <v>#NAME?</v>
      </c>
    </row>
    <row r="546" customFormat="false" ht="15" hidden="false" customHeight="false" outlineLevel="0" collapsed="false">
      <c r="A546" s="0" t="s">
        <v>404</v>
      </c>
      <c r="B546" s="0" t="s">
        <v>282</v>
      </c>
      <c r="C546" s="0" t="s">
        <v>123</v>
      </c>
      <c r="D546" s="0" t="n">
        <v>35</v>
      </c>
      <c r="E546" s="0" t="s">
        <v>48</v>
      </c>
      <c r="F546" s="0" t="s">
        <v>202</v>
      </c>
      <c r="G546" s="0" t="s">
        <v>2343</v>
      </c>
      <c r="H546" s="0" t="s">
        <v>736</v>
      </c>
      <c r="I546" s="0" t="s">
        <v>2344</v>
      </c>
      <c r="J546" s="4" t="n">
        <v>45988</v>
      </c>
      <c r="K546" s="0" t="s">
        <v>748</v>
      </c>
      <c r="L546" s="0" t="s">
        <v>391</v>
      </c>
      <c r="M546" s="5" t="n">
        <v>3499</v>
      </c>
      <c r="N546" s="0" t="n">
        <v>1</v>
      </c>
      <c r="O546" s="0" t="s">
        <v>54</v>
      </c>
      <c r="P546" s="0" t="n">
        <v>3</v>
      </c>
      <c r="Q546" s="5" t="n">
        <v>0</v>
      </c>
      <c r="R546" s="4" t="n">
        <v>45991</v>
      </c>
      <c r="S546" s="0" t="s">
        <v>178</v>
      </c>
      <c r="T546" s="0" t="n">
        <f aca="false">R546-J546</f>
        <v>3</v>
      </c>
      <c r="U546" s="5" t="n">
        <f aca="false">M546*N546</f>
        <v>3499</v>
      </c>
      <c r="V546" s="6" t="n">
        <f aca="false">IF(O546="FLAT5",5%,IF(O546="FLAT10",10%,IF(O546="FLAT15",15%,IF(O546="FLAT20",20%,0))))</f>
        <v>0</v>
      </c>
      <c r="W546" s="5" t="n">
        <f aca="false">U546*(1-V546)</f>
        <v>3499</v>
      </c>
      <c r="X546" s="5" t="n">
        <f aca="false">W546+IF(O546="DEL0",0,Q546)</f>
        <v>3499</v>
      </c>
      <c r="Y546" s="0" t="str">
        <f aca="false">B546&amp;" "&amp;C546</f>
        <v>Nisha Nair</v>
      </c>
      <c r="Z546" s="0" t="str">
        <f aca="false">IF(T546&lt;P546,"BeforeTime",IF(T546=P546,"Intime","Late"))</f>
        <v>Intime</v>
      </c>
      <c r="AA546" s="0" t="str">
        <f aca="false">TEXT(J546,"mmm")</f>
        <v>Nov</v>
      </c>
      <c r="AB546" s="0" t="e">
        <f aca="false">xlookup(L546,Products!A:A,Products!B:B,"")</f>
        <v>#NAME?</v>
      </c>
    </row>
    <row r="547" customFormat="false" ht="15" hidden="false" customHeight="false" outlineLevel="0" collapsed="false">
      <c r="A547" s="0" t="s">
        <v>433</v>
      </c>
      <c r="B547" s="0" t="s">
        <v>582</v>
      </c>
      <c r="C547" s="0" t="s">
        <v>35</v>
      </c>
      <c r="D547" s="0" t="n">
        <v>27</v>
      </c>
      <c r="E547" s="0" t="s">
        <v>36</v>
      </c>
      <c r="F547" s="0" t="s">
        <v>160</v>
      </c>
      <c r="G547" s="0" t="s">
        <v>2345</v>
      </c>
      <c r="H547" s="0" t="s">
        <v>1060</v>
      </c>
      <c r="I547" s="0" t="s">
        <v>2346</v>
      </c>
      <c r="J547" s="4" t="n">
        <v>45754</v>
      </c>
      <c r="K547" s="0" t="s">
        <v>2347</v>
      </c>
      <c r="L547" s="0" t="s">
        <v>136</v>
      </c>
      <c r="M547" s="5" t="n">
        <v>1799</v>
      </c>
      <c r="N547" s="0" t="n">
        <v>1</v>
      </c>
      <c r="O547" s="0" t="s">
        <v>101</v>
      </c>
      <c r="P547" s="0" t="n">
        <v>5</v>
      </c>
      <c r="Q547" s="5" t="n">
        <v>60</v>
      </c>
      <c r="R547" s="4" t="n">
        <v>45758</v>
      </c>
      <c r="S547" s="0" t="s">
        <v>1900</v>
      </c>
      <c r="T547" s="0" t="n">
        <f aca="false">R547-J547</f>
        <v>4</v>
      </c>
      <c r="U547" s="5" t="n">
        <f aca="false">M547*N547</f>
        <v>1799</v>
      </c>
      <c r="V547" s="6" t="n">
        <f aca="false">IF(O547="FLAT5",5%,IF(O547="FLAT10",10%,IF(O547="FLAT15",15%,IF(O547="FLAT20",20%,0))))</f>
        <v>0.15</v>
      </c>
      <c r="W547" s="5" t="n">
        <f aca="false">U547*(1-V547)</f>
        <v>1529.15</v>
      </c>
      <c r="X547" s="5" t="n">
        <f aca="false">W547+IF(O547="DEL0",0,Q547)</f>
        <v>1589.15</v>
      </c>
      <c r="Y547" s="0" t="str">
        <f aca="false">B547&amp;" "&amp;C547</f>
        <v>Kavya Sharma</v>
      </c>
      <c r="Z547" s="0" t="str">
        <f aca="false">IF(T547&lt;P547,"BeforeTime",IF(T547=P547,"Intime","Late"))</f>
        <v>BeforeTime</v>
      </c>
      <c r="AA547" s="0" t="str">
        <f aca="false">TEXT(J547,"mmm")</f>
        <v>Apr</v>
      </c>
      <c r="AB547" s="0" t="e">
        <f aca="false">xlookup(L547,Products!A:A,Products!B:B,"")</f>
        <v>#NAME?</v>
      </c>
    </row>
    <row r="548" customFormat="false" ht="15" hidden="false" customHeight="false" outlineLevel="0" collapsed="false">
      <c r="A548" s="0" t="s">
        <v>527</v>
      </c>
      <c r="B548" s="0" t="s">
        <v>122</v>
      </c>
      <c r="C548" s="0" t="s">
        <v>95</v>
      </c>
      <c r="D548" s="0" t="n">
        <v>25</v>
      </c>
      <c r="E548" s="0" t="s">
        <v>36</v>
      </c>
      <c r="F548" s="0" t="s">
        <v>124</v>
      </c>
      <c r="G548" s="0" t="s">
        <v>2348</v>
      </c>
      <c r="H548" s="0" t="s">
        <v>290</v>
      </c>
      <c r="I548" s="0" t="s">
        <v>2349</v>
      </c>
      <c r="J548" s="4" t="n">
        <v>45765</v>
      </c>
      <c r="K548" s="0" t="s">
        <v>996</v>
      </c>
      <c r="L548" s="0" t="s">
        <v>391</v>
      </c>
      <c r="M548" s="5" t="n">
        <v>3499</v>
      </c>
      <c r="N548" s="0" t="n">
        <v>2</v>
      </c>
      <c r="O548" s="0" t="s">
        <v>91</v>
      </c>
      <c r="P548" s="0" t="n">
        <v>7</v>
      </c>
      <c r="Q548" s="5" t="n">
        <v>60</v>
      </c>
      <c r="R548" s="4" t="n">
        <v>45772</v>
      </c>
      <c r="S548" s="0" t="s">
        <v>562</v>
      </c>
      <c r="T548" s="0" t="n">
        <f aca="false">R548-J548</f>
        <v>7</v>
      </c>
      <c r="U548" s="5" t="n">
        <f aca="false">M548*N548</f>
        <v>6998</v>
      </c>
      <c r="V548" s="6" t="n">
        <f aca="false">IF(O548="FLAT5",5%,IF(O548="FLAT10",10%,IF(O548="FLAT15",15%,IF(O548="FLAT20",20%,0))))</f>
        <v>0.1</v>
      </c>
      <c r="W548" s="5" t="n">
        <f aca="false">U548*(1-V548)</f>
        <v>6298.2</v>
      </c>
      <c r="X548" s="5" t="n">
        <f aca="false">W548+IF(O548="DEL0",0,Q548)</f>
        <v>6358.2</v>
      </c>
      <c r="Y548" s="0" t="str">
        <f aca="false">B548&amp;" "&amp;C548</f>
        <v>Meera Mishra</v>
      </c>
      <c r="Z548" s="0" t="str">
        <f aca="false">IF(T548&lt;P548,"BeforeTime",IF(T548=P548,"Intime","Late"))</f>
        <v>Intime</v>
      </c>
      <c r="AA548" s="0" t="str">
        <f aca="false">TEXT(J548,"mmm")</f>
        <v>Apr</v>
      </c>
      <c r="AB548" s="0" t="e">
        <f aca="false">xlookup(L548,Products!A:A,Products!B:B,"")</f>
        <v>#NAME?</v>
      </c>
    </row>
    <row r="549" customFormat="false" ht="15" hidden="false" customHeight="false" outlineLevel="0" collapsed="false">
      <c r="A549" s="0" t="s">
        <v>684</v>
      </c>
      <c r="B549" s="0" t="s">
        <v>282</v>
      </c>
      <c r="C549" s="0" t="s">
        <v>95</v>
      </c>
      <c r="D549" s="0" t="n">
        <v>38</v>
      </c>
      <c r="E549" s="0" t="s">
        <v>48</v>
      </c>
      <c r="F549" s="0" t="s">
        <v>262</v>
      </c>
      <c r="G549" s="0" t="s">
        <v>2350</v>
      </c>
      <c r="H549" s="0" t="s">
        <v>2351</v>
      </c>
      <c r="I549" s="0" t="s">
        <v>2352</v>
      </c>
      <c r="J549" s="4" t="n">
        <v>45726</v>
      </c>
      <c r="K549" s="0" t="s">
        <v>1513</v>
      </c>
      <c r="L549" s="0" t="s">
        <v>42</v>
      </c>
      <c r="M549" s="5" t="n">
        <v>2199</v>
      </c>
      <c r="N549" s="0" t="n">
        <v>3</v>
      </c>
      <c r="O549" s="0" t="s">
        <v>91</v>
      </c>
      <c r="P549" s="0" t="n">
        <v>3</v>
      </c>
      <c r="Q549" s="5" t="n">
        <v>90</v>
      </c>
      <c r="R549" s="4" t="n">
        <v>45729</v>
      </c>
      <c r="S549" s="0" t="s">
        <v>384</v>
      </c>
      <c r="T549" s="0" t="n">
        <f aca="false">R549-J549</f>
        <v>3</v>
      </c>
      <c r="U549" s="5" t="n">
        <f aca="false">M549*N549</f>
        <v>6597</v>
      </c>
      <c r="V549" s="6" t="n">
        <f aca="false">IF(O549="FLAT5",5%,IF(O549="FLAT10",10%,IF(O549="FLAT15",15%,IF(O549="FLAT20",20%,0))))</f>
        <v>0.1</v>
      </c>
      <c r="W549" s="5" t="n">
        <f aca="false">U549*(1-V549)</f>
        <v>5937.3</v>
      </c>
      <c r="X549" s="5" t="n">
        <f aca="false">W549+IF(O549="DEL0",0,Q549)</f>
        <v>6027.3</v>
      </c>
      <c r="Y549" s="0" t="str">
        <f aca="false">B549&amp;" "&amp;C549</f>
        <v>Nisha Mishra</v>
      </c>
      <c r="Z549" s="0" t="str">
        <f aca="false">IF(T549&lt;P549,"BeforeTime",IF(T549=P549,"Intime","Late"))</f>
        <v>Intime</v>
      </c>
      <c r="AA549" s="0" t="str">
        <f aca="false">TEXT(J549,"mmm")</f>
        <v>Mar</v>
      </c>
      <c r="AB549" s="0" t="e">
        <f aca="false">xlookup(L549,Products!A:A,Products!B:B,"")</f>
        <v>#NAME?</v>
      </c>
    </row>
    <row r="550" customFormat="false" ht="15" hidden="false" customHeight="false" outlineLevel="0" collapsed="false">
      <c r="A550" s="0" t="s">
        <v>1456</v>
      </c>
      <c r="B550" s="0" t="s">
        <v>188</v>
      </c>
      <c r="C550" s="0" t="s">
        <v>210</v>
      </c>
      <c r="D550" s="0" t="n">
        <v>31</v>
      </c>
      <c r="E550" s="0" t="s">
        <v>36</v>
      </c>
      <c r="F550" s="0" t="s">
        <v>114</v>
      </c>
      <c r="G550" s="0" t="s">
        <v>2353</v>
      </c>
      <c r="H550" s="0" t="s">
        <v>176</v>
      </c>
      <c r="I550" s="0" t="s">
        <v>2354</v>
      </c>
      <c r="J550" s="4" t="n">
        <v>45977</v>
      </c>
      <c r="K550" s="0" t="s">
        <v>1857</v>
      </c>
      <c r="L550" s="0" t="s">
        <v>136</v>
      </c>
      <c r="M550" s="5" t="n">
        <v>1799</v>
      </c>
      <c r="N550" s="0" t="n">
        <v>4</v>
      </c>
      <c r="O550" s="0" t="s">
        <v>43</v>
      </c>
      <c r="P550" s="0" t="n">
        <v>2</v>
      </c>
      <c r="Q550" s="5" t="n">
        <v>40</v>
      </c>
      <c r="R550" s="4" t="n">
        <v>45981</v>
      </c>
      <c r="S550" s="0" t="s">
        <v>2355</v>
      </c>
      <c r="T550" s="0" t="n">
        <f aca="false">R550-J550</f>
        <v>4</v>
      </c>
      <c r="U550" s="5" t="n">
        <f aca="false">M550*N550</f>
        <v>7196</v>
      </c>
      <c r="V550" s="6" t="n">
        <f aca="false">IF(O550="FLAT5",5%,IF(O550="FLAT10",10%,IF(O550="FLAT15",15%,IF(O550="FLAT20",20%,0))))</f>
        <v>0.2</v>
      </c>
      <c r="W550" s="5" t="n">
        <f aca="false">U550*(1-V550)</f>
        <v>5756.8</v>
      </c>
      <c r="X550" s="5" t="n">
        <f aca="false">W550+IF(O550="DEL0",0,Q550)</f>
        <v>5796.8</v>
      </c>
      <c r="Y550" s="0" t="str">
        <f aca="false">B550&amp;" "&amp;C550</f>
        <v>Rohan Reddy</v>
      </c>
      <c r="Z550" s="0" t="str">
        <f aca="false">IF(T550&lt;P550,"BeforeTime",IF(T550=P550,"Intime","Late"))</f>
        <v>Late</v>
      </c>
      <c r="AA550" s="0" t="str">
        <f aca="false">TEXT(J550,"mmm")</f>
        <v>Nov</v>
      </c>
      <c r="AB550" s="0" t="e">
        <f aca="false">xlookup(L550,Products!A:A,Products!B:B,"")</f>
        <v>#NAME?</v>
      </c>
    </row>
    <row r="551" customFormat="false" ht="15" hidden="false" customHeight="false" outlineLevel="0" collapsed="false">
      <c r="A551" s="0" t="s">
        <v>455</v>
      </c>
      <c r="B551" s="0" t="s">
        <v>139</v>
      </c>
      <c r="C551" s="0" t="s">
        <v>123</v>
      </c>
      <c r="D551" s="0" t="n">
        <v>50</v>
      </c>
      <c r="E551" s="0" t="s">
        <v>48</v>
      </c>
      <c r="F551" s="0" t="s">
        <v>140</v>
      </c>
      <c r="G551" s="0" t="s">
        <v>2356</v>
      </c>
      <c r="H551" s="0" t="s">
        <v>2357</v>
      </c>
      <c r="I551" s="0" t="s">
        <v>2358</v>
      </c>
      <c r="J551" s="4" t="n">
        <v>45661</v>
      </c>
      <c r="K551" s="0" t="s">
        <v>849</v>
      </c>
      <c r="L551" s="0" t="s">
        <v>110</v>
      </c>
      <c r="M551" s="5" t="n">
        <v>1499</v>
      </c>
      <c r="N551" s="0" t="n">
        <v>1</v>
      </c>
      <c r="O551" s="0" t="s">
        <v>91</v>
      </c>
      <c r="P551" s="0" t="n">
        <v>7</v>
      </c>
      <c r="Q551" s="5" t="n">
        <v>40</v>
      </c>
      <c r="R551" s="4" t="n">
        <v>45668</v>
      </c>
      <c r="S551" s="0" t="s">
        <v>1422</v>
      </c>
      <c r="T551" s="0" t="n">
        <f aca="false">R551-J551</f>
        <v>7</v>
      </c>
      <c r="U551" s="5" t="n">
        <f aca="false">M551*N551</f>
        <v>1499</v>
      </c>
      <c r="V551" s="6" t="n">
        <f aca="false">IF(O551="FLAT5",5%,IF(O551="FLAT10",10%,IF(O551="FLAT15",15%,IF(O551="FLAT20",20%,0))))</f>
        <v>0.1</v>
      </c>
      <c r="W551" s="5" t="n">
        <f aca="false">U551*(1-V551)</f>
        <v>1349.1</v>
      </c>
      <c r="X551" s="5" t="n">
        <f aca="false">W551+IF(O551="DEL0",0,Q551)</f>
        <v>1389.1</v>
      </c>
      <c r="Y551" s="0" t="str">
        <f aca="false">B551&amp;" "&amp;C551</f>
        <v>Aarav Nair</v>
      </c>
      <c r="Z551" s="0" t="str">
        <f aca="false">IF(T551&lt;P551,"BeforeTime",IF(T551=P551,"Intime","Late"))</f>
        <v>Intime</v>
      </c>
      <c r="AA551" s="0" t="str">
        <f aca="false">TEXT(J551,"mmm")</f>
        <v>Jan</v>
      </c>
      <c r="AB551" s="0" t="e">
        <f aca="false">xlookup(L551,Products!A:A,Products!B:B,"")</f>
        <v>#NAME?</v>
      </c>
    </row>
    <row r="552" customFormat="false" ht="15" hidden="false" customHeight="false" outlineLevel="0" collapsed="false">
      <c r="A552" s="0" t="s">
        <v>208</v>
      </c>
      <c r="B552" s="0" t="s">
        <v>269</v>
      </c>
      <c r="C552" s="0" t="s">
        <v>181</v>
      </c>
      <c r="D552" s="0" t="n">
        <v>51</v>
      </c>
      <c r="E552" s="0" t="s">
        <v>48</v>
      </c>
      <c r="F552" s="0" t="s">
        <v>59</v>
      </c>
      <c r="G552" s="0" t="s">
        <v>2359</v>
      </c>
      <c r="H552" s="0" t="s">
        <v>810</v>
      </c>
      <c r="I552" s="0" t="s">
        <v>2360</v>
      </c>
      <c r="J552" s="4" t="n">
        <v>46007</v>
      </c>
      <c r="K552" s="0" t="s">
        <v>1748</v>
      </c>
      <c r="L552" s="0" t="s">
        <v>64</v>
      </c>
      <c r="M552" s="5" t="n">
        <v>2799</v>
      </c>
      <c r="N552" s="0" t="n">
        <v>4</v>
      </c>
      <c r="O552" s="0" t="s">
        <v>91</v>
      </c>
      <c r="P552" s="0" t="n">
        <v>4</v>
      </c>
      <c r="Q552" s="5" t="n">
        <v>60</v>
      </c>
      <c r="R552" s="4" t="n">
        <v>46013</v>
      </c>
      <c r="S552" s="0" t="s">
        <v>220</v>
      </c>
      <c r="T552" s="0" t="n">
        <f aca="false">R552-J552</f>
        <v>6</v>
      </c>
      <c r="U552" s="5" t="n">
        <f aca="false">M552*N552</f>
        <v>11196</v>
      </c>
      <c r="V552" s="6" t="n">
        <f aca="false">IF(O552="FLAT5",5%,IF(O552="FLAT10",10%,IF(O552="FLAT15",15%,IF(O552="FLAT20",20%,0))))</f>
        <v>0.1</v>
      </c>
      <c r="W552" s="5" t="n">
        <f aca="false">U552*(1-V552)</f>
        <v>10076.4</v>
      </c>
      <c r="X552" s="5" t="n">
        <f aca="false">W552+IF(O552="DEL0",0,Q552)</f>
        <v>10136.4</v>
      </c>
      <c r="Y552" s="0" t="str">
        <f aca="false">B552&amp;" "&amp;C552</f>
        <v>Varun Gupta</v>
      </c>
      <c r="Z552" s="0" t="str">
        <f aca="false">IF(T552&lt;P552,"BeforeTime",IF(T552=P552,"Intime","Late"))</f>
        <v>Late</v>
      </c>
      <c r="AA552" s="0" t="str">
        <f aca="false">TEXT(J552,"mmm")</f>
        <v>Dec</v>
      </c>
      <c r="AB552" s="0" t="e">
        <f aca="false">xlookup(L552,Products!A:A,Products!B:B,"")</f>
        <v>#NAME?</v>
      </c>
    </row>
    <row r="553" customFormat="false" ht="15" hidden="false" customHeight="false" outlineLevel="0" collapsed="false">
      <c r="A553" s="0" t="s">
        <v>1613</v>
      </c>
      <c r="B553" s="0" t="s">
        <v>86</v>
      </c>
      <c r="C553" s="0" t="s">
        <v>261</v>
      </c>
      <c r="D553" s="0" t="n">
        <v>20</v>
      </c>
      <c r="E553" s="0" t="s">
        <v>48</v>
      </c>
      <c r="F553" s="0" t="s">
        <v>160</v>
      </c>
      <c r="G553" s="0" t="s">
        <v>2361</v>
      </c>
      <c r="H553" s="0" t="s">
        <v>1502</v>
      </c>
      <c r="I553" s="0" t="s">
        <v>2362</v>
      </c>
      <c r="J553" s="4" t="n">
        <v>45720</v>
      </c>
      <c r="K553" s="0" t="s">
        <v>215</v>
      </c>
      <c r="L553" s="0" t="s">
        <v>82</v>
      </c>
      <c r="M553" s="5" t="n">
        <v>1199</v>
      </c>
      <c r="N553" s="0" t="n">
        <v>2</v>
      </c>
      <c r="O553" s="0" t="s">
        <v>83</v>
      </c>
      <c r="P553" s="0" t="n">
        <v>6</v>
      </c>
      <c r="Q553" s="5" t="n">
        <v>120</v>
      </c>
      <c r="R553" s="4" t="n">
        <v>45726</v>
      </c>
      <c r="S553" s="0" t="s">
        <v>2154</v>
      </c>
      <c r="T553" s="0" t="n">
        <f aca="false">R553-J553</f>
        <v>6</v>
      </c>
      <c r="U553" s="5" t="n">
        <f aca="false">M553*N553</f>
        <v>2398</v>
      </c>
      <c r="V553" s="6" t="n">
        <f aca="false">IF(O553="FLAT5",5%,IF(O553="FLAT10",10%,IF(O553="FLAT15",15%,IF(O553="FLAT20",20%,0))))</f>
        <v>0.05</v>
      </c>
      <c r="W553" s="5" t="n">
        <f aca="false">U553*(1-V553)</f>
        <v>2278.1</v>
      </c>
      <c r="X553" s="5" t="n">
        <f aca="false">W553+IF(O553="DEL0",0,Q553)</f>
        <v>2398.1</v>
      </c>
      <c r="Y553" s="0" t="str">
        <f aca="false">B553&amp;" "&amp;C553</f>
        <v>Rahul Kumar</v>
      </c>
      <c r="Z553" s="0" t="str">
        <f aca="false">IF(T553&lt;P553,"BeforeTime",IF(T553=P553,"Intime","Late"))</f>
        <v>Intime</v>
      </c>
      <c r="AA553" s="0" t="str">
        <f aca="false">TEXT(J553,"mmm")</f>
        <v>Mar</v>
      </c>
      <c r="AB553" s="0" t="e">
        <f aca="false">xlookup(L553,Products!A:A,Products!B:B,"")</f>
        <v>#NAME?</v>
      </c>
    </row>
    <row r="554" customFormat="false" ht="15" hidden="false" customHeight="false" outlineLevel="0" collapsed="false">
      <c r="A554" s="0" t="s">
        <v>268</v>
      </c>
      <c r="B554" s="0" t="s">
        <v>147</v>
      </c>
      <c r="C554" s="0" t="s">
        <v>95</v>
      </c>
      <c r="D554" s="0" t="n">
        <v>32</v>
      </c>
      <c r="E554" s="0" t="s">
        <v>36</v>
      </c>
      <c r="F554" s="0" t="s">
        <v>59</v>
      </c>
      <c r="G554" s="0" t="s">
        <v>2363</v>
      </c>
      <c r="H554" s="0" t="s">
        <v>778</v>
      </c>
      <c r="I554" s="0" t="s">
        <v>2364</v>
      </c>
      <c r="J554" s="4" t="n">
        <v>45824</v>
      </c>
      <c r="K554" s="0" t="s">
        <v>2269</v>
      </c>
      <c r="L554" s="0" t="s">
        <v>110</v>
      </c>
      <c r="M554" s="5" t="n">
        <v>1499</v>
      </c>
      <c r="N554" s="0" t="n">
        <v>3</v>
      </c>
      <c r="O554" s="0" t="s">
        <v>259</v>
      </c>
      <c r="P554" s="0" t="n">
        <v>7</v>
      </c>
      <c r="Q554" s="5" t="n">
        <v>90</v>
      </c>
      <c r="R554" s="4" t="n">
        <v>45831</v>
      </c>
      <c r="S554" s="0" t="s">
        <v>1380</v>
      </c>
      <c r="T554" s="0" t="n">
        <f aca="false">R554-J554</f>
        <v>7</v>
      </c>
      <c r="U554" s="5" t="n">
        <f aca="false">M554*N554</f>
        <v>4497</v>
      </c>
      <c r="V554" s="6" t="n">
        <f aca="false">IF(O554="FLAT5",5%,IF(O554="FLAT10",10%,IF(O554="FLAT15",15%,IF(O554="FLAT20",20%,0))))</f>
        <v>0</v>
      </c>
      <c r="W554" s="5" t="n">
        <f aca="false">U554*(1-V554)</f>
        <v>4497</v>
      </c>
      <c r="X554" s="5" t="n">
        <f aca="false">W554+IF(O554="DEL0",0,Q554)</f>
        <v>4587</v>
      </c>
      <c r="Y554" s="0" t="str">
        <f aca="false">B554&amp;" "&amp;C554</f>
        <v>Pooja Mishra</v>
      </c>
      <c r="Z554" s="0" t="str">
        <f aca="false">IF(T554&lt;P554,"BeforeTime",IF(T554=P554,"Intime","Late"))</f>
        <v>Intime</v>
      </c>
      <c r="AA554" s="0" t="str">
        <f aca="false">TEXT(J554,"mmm")</f>
        <v>Jun</v>
      </c>
      <c r="AB554" s="0" t="e">
        <f aca="false">xlookup(L554,Products!A:A,Products!B:B,"")</f>
        <v>#NAME?</v>
      </c>
    </row>
    <row r="555" customFormat="false" ht="15" hidden="false" customHeight="false" outlineLevel="0" collapsed="false">
      <c r="A555" s="0" t="s">
        <v>647</v>
      </c>
      <c r="B555" s="0" t="s">
        <v>147</v>
      </c>
      <c r="C555" s="0" t="s">
        <v>261</v>
      </c>
      <c r="D555" s="0" t="n">
        <v>44</v>
      </c>
      <c r="E555" s="0" t="s">
        <v>48</v>
      </c>
      <c r="F555" s="0" t="s">
        <v>124</v>
      </c>
      <c r="G555" s="0" t="s">
        <v>2365</v>
      </c>
      <c r="H555" s="0" t="s">
        <v>1152</v>
      </c>
      <c r="I555" s="0" t="s">
        <v>2366</v>
      </c>
      <c r="J555" s="4" t="n">
        <v>45950</v>
      </c>
      <c r="K555" s="0" t="s">
        <v>2367</v>
      </c>
      <c r="L555" s="0" t="s">
        <v>100</v>
      </c>
      <c r="M555" s="5" t="n">
        <v>999</v>
      </c>
      <c r="N555" s="0" t="n">
        <v>2</v>
      </c>
      <c r="O555" s="0" t="s">
        <v>259</v>
      </c>
      <c r="P555" s="0" t="n">
        <v>7</v>
      </c>
      <c r="Q555" s="5" t="n">
        <v>50</v>
      </c>
      <c r="R555" s="4" t="n">
        <v>45957</v>
      </c>
      <c r="S555" s="0" t="s">
        <v>130</v>
      </c>
      <c r="T555" s="0" t="n">
        <f aca="false">R555-J555</f>
        <v>7</v>
      </c>
      <c r="U555" s="5" t="n">
        <f aca="false">M555*N555</f>
        <v>1998</v>
      </c>
      <c r="V555" s="6" t="n">
        <f aca="false">IF(O555="FLAT5",5%,IF(O555="FLAT10",10%,IF(O555="FLAT15",15%,IF(O555="FLAT20",20%,0))))</f>
        <v>0</v>
      </c>
      <c r="W555" s="5" t="n">
        <f aca="false">U555*(1-V555)</f>
        <v>1998</v>
      </c>
      <c r="X555" s="5" t="n">
        <f aca="false">W555+IF(O555="DEL0",0,Q555)</f>
        <v>2048</v>
      </c>
      <c r="Y555" s="0" t="str">
        <f aca="false">B555&amp;" "&amp;C555</f>
        <v>Pooja Kumar</v>
      </c>
      <c r="Z555" s="0" t="str">
        <f aca="false">IF(T555&lt;P555,"BeforeTime",IF(T555=P555,"Intime","Late"))</f>
        <v>Intime</v>
      </c>
      <c r="AA555" s="0" t="str">
        <f aca="false">TEXT(J555,"mmm")</f>
        <v>Oct</v>
      </c>
      <c r="AB555" s="0" t="e">
        <f aca="false">xlookup(L555,Products!A:A,Products!B:B,"")</f>
        <v>#NAME?</v>
      </c>
    </row>
    <row r="556" customFormat="false" ht="15" hidden="false" customHeight="false" outlineLevel="0" collapsed="false">
      <c r="A556" s="0" t="s">
        <v>228</v>
      </c>
      <c r="B556" s="0" t="s">
        <v>394</v>
      </c>
      <c r="C556" s="0" t="s">
        <v>113</v>
      </c>
      <c r="D556" s="0" t="n">
        <v>48</v>
      </c>
      <c r="E556" s="0" t="s">
        <v>36</v>
      </c>
      <c r="F556" s="0" t="s">
        <v>248</v>
      </c>
      <c r="G556" s="0" t="s">
        <v>2368</v>
      </c>
      <c r="H556" s="0" t="s">
        <v>2369</v>
      </c>
      <c r="I556" s="0" t="s">
        <v>2370</v>
      </c>
      <c r="J556" s="4" t="n">
        <v>45745</v>
      </c>
      <c r="K556" s="0" t="s">
        <v>2371</v>
      </c>
      <c r="L556" s="0" t="s">
        <v>119</v>
      </c>
      <c r="M556" s="5" t="n">
        <v>899</v>
      </c>
      <c r="N556" s="0" t="n">
        <v>2</v>
      </c>
      <c r="O556" s="0" t="s">
        <v>91</v>
      </c>
      <c r="P556" s="0" t="n">
        <v>7</v>
      </c>
      <c r="Q556" s="5" t="n">
        <v>40</v>
      </c>
      <c r="R556" s="4" t="n">
        <v>45752</v>
      </c>
      <c r="S556" s="0" t="s">
        <v>2139</v>
      </c>
      <c r="T556" s="0" t="n">
        <f aca="false">R556-J556</f>
        <v>7</v>
      </c>
      <c r="U556" s="5" t="n">
        <f aca="false">M556*N556</f>
        <v>1798</v>
      </c>
      <c r="V556" s="6" t="n">
        <f aca="false">IF(O556="FLAT5",5%,IF(O556="FLAT10",10%,IF(O556="FLAT15",15%,IF(O556="FLAT20",20%,0))))</f>
        <v>0.1</v>
      </c>
      <c r="W556" s="5" t="n">
        <f aca="false">U556*(1-V556)</f>
        <v>1618.2</v>
      </c>
      <c r="X556" s="5" t="n">
        <f aca="false">W556+IF(O556="DEL0",0,Q556)</f>
        <v>1658.2</v>
      </c>
      <c r="Y556" s="0" t="str">
        <f aca="false">B556&amp;" "&amp;C556</f>
        <v>Kiran Rao</v>
      </c>
      <c r="Z556" s="0" t="str">
        <f aca="false">IF(T556&lt;P556,"BeforeTime",IF(T556=P556,"Intime","Late"))</f>
        <v>Intime</v>
      </c>
      <c r="AA556" s="0" t="str">
        <f aca="false">TEXT(J556,"mmm")</f>
        <v>Mar</v>
      </c>
      <c r="AB556" s="0" t="e">
        <f aca="false">xlookup(L556,Products!A:A,Products!B:B,"")</f>
        <v>#NAME?</v>
      </c>
    </row>
    <row r="557" customFormat="false" ht="15" hidden="false" customHeight="false" outlineLevel="0" collapsed="false">
      <c r="A557" s="0" t="s">
        <v>2372</v>
      </c>
      <c r="B557" s="0" t="s">
        <v>294</v>
      </c>
      <c r="C557" s="0" t="s">
        <v>181</v>
      </c>
      <c r="D557" s="0" t="n">
        <v>34</v>
      </c>
      <c r="E557" s="0" t="s">
        <v>48</v>
      </c>
      <c r="F557" s="0" t="s">
        <v>248</v>
      </c>
      <c r="G557" s="0" t="s">
        <v>2373</v>
      </c>
      <c r="H557" s="0" t="s">
        <v>483</v>
      </c>
      <c r="I557" s="0" t="s">
        <v>2374</v>
      </c>
      <c r="J557" s="4" t="n">
        <v>45931</v>
      </c>
      <c r="K557" s="0" t="s">
        <v>2375</v>
      </c>
      <c r="L557" s="0" t="s">
        <v>119</v>
      </c>
      <c r="M557" s="5" t="n">
        <v>899</v>
      </c>
      <c r="N557" s="0" t="n">
        <v>1</v>
      </c>
      <c r="O557" s="0" t="s">
        <v>43</v>
      </c>
      <c r="P557" s="0" t="n">
        <v>7</v>
      </c>
      <c r="Q557" s="5" t="n">
        <v>40</v>
      </c>
      <c r="R557" s="4" t="n">
        <v>45938</v>
      </c>
      <c r="S557" s="0" t="s">
        <v>2376</v>
      </c>
      <c r="T557" s="0" t="n">
        <f aca="false">R557-J557</f>
        <v>7</v>
      </c>
      <c r="U557" s="5" t="n">
        <f aca="false">M557*N557</f>
        <v>899</v>
      </c>
      <c r="V557" s="6" t="n">
        <f aca="false">IF(O557="FLAT5",5%,IF(O557="FLAT10",10%,IF(O557="FLAT15",15%,IF(O557="FLAT20",20%,0))))</f>
        <v>0.2</v>
      </c>
      <c r="W557" s="5" t="n">
        <f aca="false">U557*(1-V557)</f>
        <v>719.2</v>
      </c>
      <c r="X557" s="5" t="n">
        <f aca="false">W557+IF(O557="DEL0",0,Q557)</f>
        <v>759.2</v>
      </c>
      <c r="Y557" s="0" t="str">
        <f aca="false">B557&amp;" "&amp;C557</f>
        <v>Aditya Gupta</v>
      </c>
      <c r="Z557" s="0" t="str">
        <f aca="false">IF(T557&lt;P557,"BeforeTime",IF(T557=P557,"Intime","Late"))</f>
        <v>Intime</v>
      </c>
      <c r="AA557" s="0" t="str">
        <f aca="false">TEXT(J557,"mmm")</f>
        <v>Oct</v>
      </c>
      <c r="AB557" s="0" t="e">
        <f aca="false">xlookup(L557,Products!A:A,Products!B:B,"")</f>
        <v>#NAME?</v>
      </c>
    </row>
    <row r="558" customFormat="false" ht="15" hidden="false" customHeight="false" outlineLevel="0" collapsed="false">
      <c r="A558" s="0" t="s">
        <v>103</v>
      </c>
      <c r="B558" s="0" t="s">
        <v>104</v>
      </c>
      <c r="C558" s="0" t="s">
        <v>76</v>
      </c>
      <c r="D558" s="0" t="n">
        <v>41</v>
      </c>
      <c r="E558" s="0" t="s">
        <v>48</v>
      </c>
      <c r="F558" s="0" t="s">
        <v>160</v>
      </c>
      <c r="G558" s="0" t="s">
        <v>2377</v>
      </c>
      <c r="H558" s="0" t="s">
        <v>1152</v>
      </c>
      <c r="I558" s="0" t="s">
        <v>2378</v>
      </c>
      <c r="J558" s="4" t="n">
        <v>45772</v>
      </c>
      <c r="K558" s="0" t="s">
        <v>1817</v>
      </c>
      <c r="L558" s="0" t="s">
        <v>119</v>
      </c>
      <c r="M558" s="5" t="n">
        <v>899</v>
      </c>
      <c r="N558" s="0" t="n">
        <v>4</v>
      </c>
      <c r="O558" s="0" t="s">
        <v>54</v>
      </c>
      <c r="P558" s="0" t="n">
        <v>4</v>
      </c>
      <c r="Q558" s="5" t="n">
        <v>0</v>
      </c>
      <c r="R558" s="4" t="n">
        <v>45773</v>
      </c>
      <c r="S558" s="0" t="s">
        <v>2379</v>
      </c>
      <c r="T558" s="0" t="n">
        <f aca="false">R558-J558</f>
        <v>1</v>
      </c>
      <c r="U558" s="5" t="n">
        <f aca="false">M558*N558</f>
        <v>3596</v>
      </c>
      <c r="V558" s="6" t="n">
        <f aca="false">IF(O558="FLAT5",5%,IF(O558="FLAT10",10%,IF(O558="FLAT15",15%,IF(O558="FLAT20",20%,0))))</f>
        <v>0</v>
      </c>
      <c r="W558" s="5" t="n">
        <f aca="false">U558*(1-V558)</f>
        <v>3596</v>
      </c>
      <c r="X558" s="5" t="n">
        <f aca="false">W558+IF(O558="DEL0",0,Q558)</f>
        <v>3596</v>
      </c>
      <c r="Y558" s="0" t="str">
        <f aca="false">B558&amp;" "&amp;C558</f>
        <v>Keerthi Patel</v>
      </c>
      <c r="Z558" s="0" t="str">
        <f aca="false">IF(T558&lt;P558,"BeforeTime",IF(T558=P558,"Intime","Late"))</f>
        <v>BeforeTime</v>
      </c>
      <c r="AA558" s="0" t="str">
        <f aca="false">TEXT(J558,"mmm")</f>
        <v>Apr</v>
      </c>
      <c r="AB558" s="0" t="e">
        <f aca="false">xlookup(L558,Products!A:A,Products!B:B,"")</f>
        <v>#NAME?</v>
      </c>
    </row>
    <row r="559" customFormat="false" ht="15" hidden="false" customHeight="false" outlineLevel="0" collapsed="false">
      <c r="A559" s="0" t="s">
        <v>969</v>
      </c>
      <c r="B559" s="0" t="s">
        <v>34</v>
      </c>
      <c r="C559" s="0" t="s">
        <v>417</v>
      </c>
      <c r="D559" s="0" t="n">
        <v>28</v>
      </c>
      <c r="E559" s="0" t="s">
        <v>48</v>
      </c>
      <c r="F559" s="0" t="s">
        <v>160</v>
      </c>
      <c r="G559" s="0" t="s">
        <v>2380</v>
      </c>
      <c r="H559" s="0" t="s">
        <v>1494</v>
      </c>
      <c r="I559" s="0" t="s">
        <v>2381</v>
      </c>
      <c r="J559" s="4" t="n">
        <v>45960</v>
      </c>
      <c r="K559" s="0" t="s">
        <v>2038</v>
      </c>
      <c r="L559" s="0" t="s">
        <v>64</v>
      </c>
      <c r="M559" s="5" t="n">
        <v>2799</v>
      </c>
      <c r="N559" s="0" t="n">
        <v>1</v>
      </c>
      <c r="O559" s="0" t="s">
        <v>91</v>
      </c>
      <c r="P559" s="0" t="n">
        <v>6</v>
      </c>
      <c r="Q559" s="5" t="n">
        <v>75</v>
      </c>
      <c r="R559" s="4" t="n">
        <v>45966</v>
      </c>
      <c r="S559" s="0" t="s">
        <v>1572</v>
      </c>
      <c r="T559" s="0" t="n">
        <f aca="false">R559-J559</f>
        <v>6</v>
      </c>
      <c r="U559" s="5" t="n">
        <f aca="false">M559*N559</f>
        <v>2799</v>
      </c>
      <c r="V559" s="6" t="n">
        <f aca="false">IF(O559="FLAT5",5%,IF(O559="FLAT10",10%,IF(O559="FLAT15",15%,IF(O559="FLAT20",20%,0))))</f>
        <v>0.1</v>
      </c>
      <c r="W559" s="5" t="n">
        <f aca="false">U559*(1-V559)</f>
        <v>2519.1</v>
      </c>
      <c r="X559" s="5" t="n">
        <f aca="false">W559+IF(O559="DEL0",0,Q559)</f>
        <v>2594.1</v>
      </c>
      <c r="Y559" s="0" t="str">
        <f aca="false">B559&amp;" "&amp;C559</f>
        <v>Diya Mehta</v>
      </c>
      <c r="Z559" s="0" t="str">
        <f aca="false">IF(T559&lt;P559,"BeforeTime",IF(T559=P559,"Intime","Late"))</f>
        <v>Intime</v>
      </c>
      <c r="AA559" s="0" t="str">
        <f aca="false">TEXT(J559,"mmm")</f>
        <v>Oct</v>
      </c>
      <c r="AB559" s="0" t="e">
        <f aca="false">xlookup(L559,Products!A:A,Products!B:B,"")</f>
        <v>#NAME?</v>
      </c>
    </row>
    <row r="560" customFormat="false" ht="15" hidden="false" customHeight="false" outlineLevel="0" collapsed="false">
      <c r="A560" s="0" t="s">
        <v>734</v>
      </c>
      <c r="B560" s="0" t="s">
        <v>104</v>
      </c>
      <c r="C560" s="0" t="s">
        <v>123</v>
      </c>
      <c r="D560" s="0" t="n">
        <v>26</v>
      </c>
      <c r="E560" s="0" t="s">
        <v>48</v>
      </c>
      <c r="F560" s="0" t="s">
        <v>202</v>
      </c>
      <c r="G560" s="0" t="s">
        <v>2382</v>
      </c>
      <c r="H560" s="0" t="s">
        <v>2315</v>
      </c>
      <c r="I560" s="0" t="s">
        <v>2383</v>
      </c>
      <c r="J560" s="4" t="n">
        <v>45809</v>
      </c>
      <c r="K560" s="0" t="s">
        <v>2384</v>
      </c>
      <c r="L560" s="0" t="s">
        <v>240</v>
      </c>
      <c r="M560" s="5" t="n">
        <v>4999</v>
      </c>
      <c r="N560" s="0" t="n">
        <v>4</v>
      </c>
      <c r="O560" s="0" t="s">
        <v>91</v>
      </c>
      <c r="P560" s="0" t="n">
        <v>3</v>
      </c>
      <c r="Q560" s="5" t="n">
        <v>75</v>
      </c>
      <c r="R560" s="4" t="n">
        <v>45812</v>
      </c>
      <c r="S560" s="0" t="s">
        <v>2264</v>
      </c>
      <c r="T560" s="0" t="n">
        <f aca="false">R560-J560</f>
        <v>3</v>
      </c>
      <c r="U560" s="5" t="n">
        <f aca="false">M560*N560</f>
        <v>19996</v>
      </c>
      <c r="V560" s="6" t="n">
        <f aca="false">IF(O560="FLAT5",5%,IF(O560="FLAT10",10%,IF(O560="FLAT15",15%,IF(O560="FLAT20",20%,0))))</f>
        <v>0.1</v>
      </c>
      <c r="W560" s="5" t="n">
        <f aca="false">U560*(1-V560)</f>
        <v>17996.4</v>
      </c>
      <c r="X560" s="5" t="n">
        <f aca="false">W560+IF(O560="DEL0",0,Q560)</f>
        <v>18071.4</v>
      </c>
      <c r="Y560" s="0" t="str">
        <f aca="false">B560&amp;" "&amp;C560</f>
        <v>Keerthi Nair</v>
      </c>
      <c r="Z560" s="0" t="str">
        <f aca="false">IF(T560&lt;P560,"BeforeTime",IF(T560=P560,"Intime","Late"))</f>
        <v>Intime</v>
      </c>
      <c r="AA560" s="0" t="str">
        <f aca="false">TEXT(J560,"mmm")</f>
        <v>Jun</v>
      </c>
      <c r="AB560" s="0" t="e">
        <f aca="false">xlookup(L560,Products!A:A,Products!B:B,"")</f>
        <v>#NAME?</v>
      </c>
    </row>
    <row r="561" customFormat="false" ht="15" hidden="false" customHeight="false" outlineLevel="0" collapsed="false">
      <c r="A561" s="0" t="s">
        <v>762</v>
      </c>
      <c r="B561" s="0" t="s">
        <v>174</v>
      </c>
      <c r="C561" s="0" t="s">
        <v>229</v>
      </c>
      <c r="D561" s="0" t="n">
        <v>39</v>
      </c>
      <c r="E561" s="0" t="s">
        <v>36</v>
      </c>
      <c r="F561" s="0" t="s">
        <v>114</v>
      </c>
      <c r="G561" s="0" t="s">
        <v>2385</v>
      </c>
      <c r="H561" s="0" t="s">
        <v>2386</v>
      </c>
      <c r="I561" s="0" t="s">
        <v>2387</v>
      </c>
      <c r="J561" s="4" t="n">
        <v>45768</v>
      </c>
      <c r="K561" s="0" t="s">
        <v>2388</v>
      </c>
      <c r="L561" s="0" t="s">
        <v>82</v>
      </c>
      <c r="M561" s="5" t="n">
        <v>1199</v>
      </c>
      <c r="N561" s="0" t="n">
        <v>4</v>
      </c>
      <c r="O561" s="0" t="s">
        <v>43</v>
      </c>
      <c r="P561" s="0" t="n">
        <v>5</v>
      </c>
      <c r="Q561" s="5" t="n">
        <v>75</v>
      </c>
      <c r="R561" s="4" t="n">
        <v>45773</v>
      </c>
      <c r="S561" s="0" t="s">
        <v>1079</v>
      </c>
      <c r="T561" s="0" t="n">
        <f aca="false">R561-J561</f>
        <v>5</v>
      </c>
      <c r="U561" s="5" t="n">
        <f aca="false">M561*N561</f>
        <v>4796</v>
      </c>
      <c r="V561" s="6" t="n">
        <f aca="false">IF(O561="FLAT5",5%,IF(O561="FLAT10",10%,IF(O561="FLAT15",15%,IF(O561="FLAT20",20%,0))))</f>
        <v>0.2</v>
      </c>
      <c r="W561" s="5" t="n">
        <f aca="false">U561*(1-V561)</f>
        <v>3836.8</v>
      </c>
      <c r="X561" s="5" t="n">
        <f aca="false">W561+IF(O561="DEL0",0,Q561)</f>
        <v>3911.8</v>
      </c>
      <c r="Y561" s="0" t="str">
        <f aca="false">B561&amp;" "&amp;C561</f>
        <v>Ananya Joshi</v>
      </c>
      <c r="Z561" s="0" t="str">
        <f aca="false">IF(T561&lt;P561,"BeforeTime",IF(T561=P561,"Intime","Late"))</f>
        <v>Intime</v>
      </c>
      <c r="AA561" s="0" t="str">
        <f aca="false">TEXT(J561,"mmm")</f>
        <v>Apr</v>
      </c>
      <c r="AB561" s="0" t="e">
        <f aca="false">xlookup(L561,Products!A:A,Products!B:B,"")</f>
        <v>#NAME?</v>
      </c>
    </row>
    <row r="562" customFormat="false" ht="15" hidden="false" customHeight="false" outlineLevel="0" collapsed="false">
      <c r="A562" s="0" t="s">
        <v>1181</v>
      </c>
      <c r="B562" s="0" t="s">
        <v>405</v>
      </c>
      <c r="C562" s="0" t="s">
        <v>210</v>
      </c>
      <c r="D562" s="0" t="n">
        <v>31</v>
      </c>
      <c r="E562" s="0" t="s">
        <v>48</v>
      </c>
      <c r="F562" s="0" t="s">
        <v>160</v>
      </c>
      <c r="G562" s="0" t="s">
        <v>2389</v>
      </c>
      <c r="H562" s="0" t="s">
        <v>1440</v>
      </c>
      <c r="I562" s="0" t="s">
        <v>2390</v>
      </c>
      <c r="J562" s="4" t="n">
        <v>45938</v>
      </c>
      <c r="K562" s="0" t="s">
        <v>2391</v>
      </c>
      <c r="L562" s="0" t="s">
        <v>72</v>
      </c>
      <c r="M562" s="5" t="n">
        <v>1299</v>
      </c>
      <c r="N562" s="0" t="n">
        <v>2</v>
      </c>
      <c r="O562" s="0" t="s">
        <v>259</v>
      </c>
      <c r="P562" s="0" t="n">
        <v>5</v>
      </c>
      <c r="Q562" s="5" t="n">
        <v>120</v>
      </c>
      <c r="R562" s="4" t="n">
        <v>45943</v>
      </c>
      <c r="S562" s="0" t="s">
        <v>2114</v>
      </c>
      <c r="T562" s="0" t="n">
        <f aca="false">R562-J562</f>
        <v>5</v>
      </c>
      <c r="U562" s="5" t="n">
        <f aca="false">M562*N562</f>
        <v>2598</v>
      </c>
      <c r="V562" s="6" t="n">
        <f aca="false">IF(O562="FLAT5",5%,IF(O562="FLAT10",10%,IF(O562="FLAT15",15%,IF(O562="FLAT20",20%,0))))</f>
        <v>0</v>
      </c>
      <c r="W562" s="5" t="n">
        <f aca="false">U562*(1-V562)</f>
        <v>2598</v>
      </c>
      <c r="X562" s="5" t="n">
        <f aca="false">W562+IF(O562="DEL0",0,Q562)</f>
        <v>2718</v>
      </c>
      <c r="Y562" s="0" t="str">
        <f aca="false">B562&amp;" "&amp;C562</f>
        <v>Sneha Reddy</v>
      </c>
      <c r="Z562" s="0" t="str">
        <f aca="false">IF(T562&lt;P562,"BeforeTime",IF(T562=P562,"Intime","Late"))</f>
        <v>Intime</v>
      </c>
      <c r="AA562" s="0" t="str">
        <f aca="false">TEXT(J562,"mmm")</f>
        <v>Oct</v>
      </c>
      <c r="AB562" s="0" t="e">
        <f aca="false">xlookup(L562,Products!A:A,Products!B:B,"")</f>
        <v>#NAME?</v>
      </c>
    </row>
    <row r="563" customFormat="false" ht="15" hidden="false" customHeight="false" outlineLevel="0" collapsed="false">
      <c r="A563" s="0" t="s">
        <v>708</v>
      </c>
      <c r="B563" s="0" t="s">
        <v>122</v>
      </c>
      <c r="C563" s="0" t="s">
        <v>368</v>
      </c>
      <c r="D563" s="0" t="n">
        <v>32</v>
      </c>
      <c r="E563" s="0" t="s">
        <v>48</v>
      </c>
      <c r="F563" s="0" t="s">
        <v>140</v>
      </c>
      <c r="G563" s="0" t="s">
        <v>2392</v>
      </c>
      <c r="H563" s="0" t="s">
        <v>2393</v>
      </c>
      <c r="I563" s="0" t="s">
        <v>2394</v>
      </c>
      <c r="J563" s="4" t="n">
        <v>45955</v>
      </c>
      <c r="K563" s="0" t="s">
        <v>679</v>
      </c>
      <c r="L563" s="0" t="s">
        <v>42</v>
      </c>
      <c r="M563" s="5" t="n">
        <v>2199</v>
      </c>
      <c r="N563" s="0" t="n">
        <v>3</v>
      </c>
      <c r="O563" s="0" t="s">
        <v>54</v>
      </c>
      <c r="P563" s="0" t="n">
        <v>2</v>
      </c>
      <c r="Q563" s="5" t="n">
        <v>0</v>
      </c>
      <c r="R563" s="4" t="n">
        <v>45960</v>
      </c>
      <c r="S563" s="0" t="s">
        <v>2395</v>
      </c>
      <c r="T563" s="0" t="n">
        <f aca="false">R563-J563</f>
        <v>5</v>
      </c>
      <c r="U563" s="5" t="n">
        <f aca="false">M563*N563</f>
        <v>6597</v>
      </c>
      <c r="V563" s="6" t="n">
        <f aca="false">IF(O563="FLAT5",5%,IF(O563="FLAT10",10%,IF(O563="FLAT15",15%,IF(O563="FLAT20",20%,0))))</f>
        <v>0</v>
      </c>
      <c r="W563" s="5" t="n">
        <f aca="false">U563*(1-V563)</f>
        <v>6597</v>
      </c>
      <c r="X563" s="5" t="n">
        <f aca="false">W563+IF(O563="DEL0",0,Q563)</f>
        <v>6597</v>
      </c>
      <c r="Y563" s="0" t="str">
        <f aca="false">B563&amp;" "&amp;C563</f>
        <v>Meera Das</v>
      </c>
      <c r="Z563" s="0" t="str">
        <f aca="false">IF(T563&lt;P563,"BeforeTime",IF(T563=P563,"Intime","Late"))</f>
        <v>Late</v>
      </c>
      <c r="AA563" s="0" t="str">
        <f aca="false">TEXT(J563,"mmm")</f>
        <v>Oct</v>
      </c>
      <c r="AB563" s="0" t="e">
        <f aca="false">xlookup(L563,Products!A:A,Products!B:B,"")</f>
        <v>#NAME?</v>
      </c>
    </row>
    <row r="564" customFormat="false" ht="15" hidden="false" customHeight="false" outlineLevel="0" collapsed="false">
      <c r="A564" s="0" t="s">
        <v>254</v>
      </c>
      <c r="B564" s="0" t="s">
        <v>147</v>
      </c>
      <c r="C564" s="0" t="s">
        <v>368</v>
      </c>
      <c r="D564" s="0" t="n">
        <v>29</v>
      </c>
      <c r="E564" s="0" t="s">
        <v>36</v>
      </c>
      <c r="F564" s="0" t="s">
        <v>37</v>
      </c>
      <c r="G564" s="0" t="s">
        <v>2396</v>
      </c>
      <c r="H564" s="0" t="s">
        <v>971</v>
      </c>
      <c r="I564" s="0" t="s">
        <v>2397</v>
      </c>
      <c r="J564" s="4" t="n">
        <v>45662</v>
      </c>
      <c r="K564" s="0" t="s">
        <v>1380</v>
      </c>
      <c r="L564" s="0" t="s">
        <v>82</v>
      </c>
      <c r="M564" s="5" t="n">
        <v>1199</v>
      </c>
      <c r="N564" s="0" t="n">
        <v>2</v>
      </c>
      <c r="O564" s="0" t="s">
        <v>54</v>
      </c>
      <c r="P564" s="0" t="n">
        <v>4</v>
      </c>
      <c r="Q564" s="5" t="n">
        <v>0</v>
      </c>
      <c r="R564" s="4" t="n">
        <v>45666</v>
      </c>
      <c r="S564" s="0" t="s">
        <v>1207</v>
      </c>
      <c r="T564" s="0" t="n">
        <f aca="false">R564-J564</f>
        <v>4</v>
      </c>
      <c r="U564" s="5" t="n">
        <f aca="false">M564*N564</f>
        <v>2398</v>
      </c>
      <c r="V564" s="6" t="n">
        <f aca="false">IF(O564="FLAT5",5%,IF(O564="FLAT10",10%,IF(O564="FLAT15",15%,IF(O564="FLAT20",20%,0))))</f>
        <v>0</v>
      </c>
      <c r="W564" s="5" t="n">
        <f aca="false">U564*(1-V564)</f>
        <v>2398</v>
      </c>
      <c r="X564" s="5" t="n">
        <f aca="false">W564+IF(O564="DEL0",0,Q564)</f>
        <v>2398</v>
      </c>
      <c r="Y564" s="0" t="str">
        <f aca="false">B564&amp;" "&amp;C564</f>
        <v>Pooja Das</v>
      </c>
      <c r="Z564" s="0" t="str">
        <f aca="false">IF(T564&lt;P564,"BeforeTime",IF(T564=P564,"Intime","Late"))</f>
        <v>Intime</v>
      </c>
      <c r="AA564" s="0" t="str">
        <f aca="false">TEXT(J564,"mmm")</f>
        <v>Jan</v>
      </c>
      <c r="AB564" s="0" t="e">
        <f aca="false">xlookup(L564,Products!A:A,Products!B:B,"")</f>
        <v>#NAME?</v>
      </c>
    </row>
    <row r="565" customFormat="false" ht="15" hidden="false" customHeight="false" outlineLevel="0" collapsed="false">
      <c r="A565" s="0" t="s">
        <v>1506</v>
      </c>
      <c r="B565" s="0" t="s">
        <v>582</v>
      </c>
      <c r="C565" s="0" t="s">
        <v>210</v>
      </c>
      <c r="D565" s="0" t="n">
        <v>26</v>
      </c>
      <c r="E565" s="0" t="s">
        <v>48</v>
      </c>
      <c r="F565" s="0" t="s">
        <v>248</v>
      </c>
      <c r="G565" s="0" t="s">
        <v>2398</v>
      </c>
      <c r="H565" s="0" t="s">
        <v>2333</v>
      </c>
      <c r="I565" s="0" t="s">
        <v>2399</v>
      </c>
      <c r="J565" s="4" t="n">
        <v>45921</v>
      </c>
      <c r="K565" s="0" t="s">
        <v>2400</v>
      </c>
      <c r="L565" s="0" t="s">
        <v>42</v>
      </c>
      <c r="M565" s="5" t="n">
        <v>2199</v>
      </c>
      <c r="N565" s="0" t="n">
        <v>1</v>
      </c>
      <c r="O565" s="0" t="s">
        <v>83</v>
      </c>
      <c r="P565" s="0" t="n">
        <v>7</v>
      </c>
      <c r="Q565" s="5" t="n">
        <v>75</v>
      </c>
      <c r="R565" s="4" t="n">
        <v>45928</v>
      </c>
      <c r="S565" s="0" t="s">
        <v>303</v>
      </c>
      <c r="T565" s="0" t="n">
        <f aca="false">R565-J565</f>
        <v>7</v>
      </c>
      <c r="U565" s="5" t="n">
        <f aca="false">M565*N565</f>
        <v>2199</v>
      </c>
      <c r="V565" s="6" t="n">
        <f aca="false">IF(O565="FLAT5",5%,IF(O565="FLAT10",10%,IF(O565="FLAT15",15%,IF(O565="FLAT20",20%,0))))</f>
        <v>0.05</v>
      </c>
      <c r="W565" s="5" t="n">
        <f aca="false">U565*(1-V565)</f>
        <v>2089.05</v>
      </c>
      <c r="X565" s="5" t="n">
        <f aca="false">W565+IF(O565="DEL0",0,Q565)</f>
        <v>2164.05</v>
      </c>
      <c r="Y565" s="0" t="str">
        <f aca="false">B565&amp;" "&amp;C565</f>
        <v>Kavya Reddy</v>
      </c>
      <c r="Z565" s="0" t="str">
        <f aca="false">IF(T565&lt;P565,"BeforeTime",IF(T565=P565,"Intime","Late"))</f>
        <v>Intime</v>
      </c>
      <c r="AA565" s="0" t="str">
        <f aca="false">TEXT(J565,"mmm")</f>
        <v>Sep</v>
      </c>
      <c r="AB565" s="0" t="e">
        <f aca="false">xlookup(L565,Products!A:A,Products!B:B,"")</f>
        <v>#NAME?</v>
      </c>
    </row>
    <row r="566" customFormat="false" ht="15" hidden="false" customHeight="false" outlineLevel="0" collapsed="false">
      <c r="A566" s="0" t="s">
        <v>146</v>
      </c>
      <c r="B566" s="0" t="s">
        <v>294</v>
      </c>
      <c r="C566" s="0" t="s">
        <v>167</v>
      </c>
      <c r="D566" s="0" t="n">
        <v>39</v>
      </c>
      <c r="E566" s="0" t="s">
        <v>36</v>
      </c>
      <c r="F566" s="0" t="s">
        <v>160</v>
      </c>
      <c r="G566" s="0" t="s">
        <v>2401</v>
      </c>
      <c r="H566" s="0" t="s">
        <v>2040</v>
      </c>
      <c r="I566" s="0" t="s">
        <v>2402</v>
      </c>
      <c r="J566" s="4" t="n">
        <v>45990</v>
      </c>
      <c r="K566" s="0" t="s">
        <v>2403</v>
      </c>
      <c r="L566" s="0" t="s">
        <v>82</v>
      </c>
      <c r="M566" s="5" t="n">
        <v>1199</v>
      </c>
      <c r="N566" s="0" t="n">
        <v>1</v>
      </c>
      <c r="O566" s="0" t="s">
        <v>54</v>
      </c>
      <c r="P566" s="0" t="n">
        <v>5</v>
      </c>
      <c r="Q566" s="5" t="n">
        <v>0</v>
      </c>
      <c r="R566" s="4" t="n">
        <v>45995</v>
      </c>
      <c r="S566" s="0" t="s">
        <v>890</v>
      </c>
      <c r="T566" s="0" t="n">
        <f aca="false">R566-J566</f>
        <v>5</v>
      </c>
      <c r="U566" s="5" t="n">
        <f aca="false">M566*N566</f>
        <v>1199</v>
      </c>
      <c r="V566" s="6" t="n">
        <f aca="false">IF(O566="FLAT5",5%,IF(O566="FLAT10",10%,IF(O566="FLAT15",15%,IF(O566="FLAT20",20%,0))))</f>
        <v>0</v>
      </c>
      <c r="W566" s="5" t="n">
        <f aca="false">U566*(1-V566)</f>
        <v>1199</v>
      </c>
      <c r="X566" s="5" t="n">
        <f aca="false">W566+IF(O566="DEL0",0,Q566)</f>
        <v>1199</v>
      </c>
      <c r="Y566" s="0" t="str">
        <f aca="false">B566&amp;" "&amp;C566</f>
        <v>Aditya Chowdhury</v>
      </c>
      <c r="Z566" s="0" t="str">
        <f aca="false">IF(T566&lt;P566,"BeforeTime",IF(T566=P566,"Intime","Late"))</f>
        <v>Intime</v>
      </c>
      <c r="AA566" s="0" t="str">
        <f aca="false">TEXT(J566,"mmm")</f>
        <v>Nov</v>
      </c>
      <c r="AB566" s="0" t="e">
        <f aca="false">xlookup(L566,Products!A:A,Products!B:B,"")</f>
        <v>#NAME?</v>
      </c>
    </row>
    <row r="567" customFormat="false" ht="15" hidden="false" customHeight="false" outlineLevel="0" collapsed="false">
      <c r="A567" s="0" t="s">
        <v>864</v>
      </c>
      <c r="B567" s="0" t="s">
        <v>34</v>
      </c>
      <c r="C567" s="0" t="s">
        <v>167</v>
      </c>
      <c r="D567" s="0" t="n">
        <v>52</v>
      </c>
      <c r="E567" s="0" t="s">
        <v>36</v>
      </c>
      <c r="F567" s="0" t="s">
        <v>202</v>
      </c>
      <c r="G567" s="0" t="s">
        <v>2404</v>
      </c>
      <c r="H567" s="0" t="s">
        <v>2109</v>
      </c>
      <c r="I567" s="0" t="s">
        <v>2405</v>
      </c>
      <c r="J567" s="4" t="n">
        <v>45706</v>
      </c>
      <c r="K567" s="0" t="s">
        <v>359</v>
      </c>
      <c r="L567" s="0" t="s">
        <v>64</v>
      </c>
      <c r="M567" s="5" t="n">
        <v>2799</v>
      </c>
      <c r="N567" s="0" t="n">
        <v>4</v>
      </c>
      <c r="O567" s="0" t="s">
        <v>91</v>
      </c>
      <c r="P567" s="0" t="n">
        <v>6</v>
      </c>
      <c r="Q567" s="5" t="n">
        <v>75</v>
      </c>
      <c r="R567" s="4" t="n">
        <v>45712</v>
      </c>
      <c r="S567" s="0" t="s">
        <v>1313</v>
      </c>
      <c r="T567" s="0" t="n">
        <f aca="false">R567-J567</f>
        <v>6</v>
      </c>
      <c r="U567" s="5" t="n">
        <f aca="false">M567*N567</f>
        <v>11196</v>
      </c>
      <c r="V567" s="6" t="n">
        <f aca="false">IF(O567="FLAT5",5%,IF(O567="FLAT10",10%,IF(O567="FLAT15",15%,IF(O567="FLAT20",20%,0))))</f>
        <v>0.1</v>
      </c>
      <c r="W567" s="5" t="n">
        <f aca="false">U567*(1-V567)</f>
        <v>10076.4</v>
      </c>
      <c r="X567" s="5" t="n">
        <f aca="false">W567+IF(O567="DEL0",0,Q567)</f>
        <v>10151.4</v>
      </c>
      <c r="Y567" s="0" t="str">
        <f aca="false">B567&amp;" "&amp;C567</f>
        <v>Diya Chowdhury</v>
      </c>
      <c r="Z567" s="0" t="str">
        <f aca="false">IF(T567&lt;P567,"BeforeTime",IF(T567=P567,"Intime","Late"))</f>
        <v>Intime</v>
      </c>
      <c r="AA567" s="0" t="str">
        <f aca="false">TEXT(J567,"mmm")</f>
        <v>Feb</v>
      </c>
      <c r="AB567" s="0" t="e">
        <f aca="false">xlookup(L567,Products!A:A,Products!B:B,"")</f>
        <v>#NAME?</v>
      </c>
    </row>
    <row r="568" customFormat="false" ht="15" hidden="false" customHeight="false" outlineLevel="0" collapsed="false">
      <c r="A568" s="0" t="s">
        <v>1285</v>
      </c>
      <c r="B568" s="0" t="s">
        <v>86</v>
      </c>
      <c r="C568" s="0" t="s">
        <v>76</v>
      </c>
      <c r="D568" s="0" t="n">
        <v>54</v>
      </c>
      <c r="E568" s="0" t="s">
        <v>36</v>
      </c>
      <c r="F568" s="0" t="s">
        <v>160</v>
      </c>
      <c r="G568" s="0" t="s">
        <v>2406</v>
      </c>
      <c r="H568" s="0" t="s">
        <v>2236</v>
      </c>
      <c r="I568" s="0" t="s">
        <v>2407</v>
      </c>
      <c r="J568" s="4" t="n">
        <v>45932</v>
      </c>
      <c r="K568" s="0" t="s">
        <v>1408</v>
      </c>
      <c r="L568" s="0" t="s">
        <v>82</v>
      </c>
      <c r="M568" s="5" t="n">
        <v>1199</v>
      </c>
      <c r="N568" s="0" t="n">
        <v>1</v>
      </c>
      <c r="O568" s="0" t="s">
        <v>91</v>
      </c>
      <c r="P568" s="0" t="n">
        <v>6</v>
      </c>
      <c r="Q568" s="5" t="n">
        <v>90</v>
      </c>
      <c r="R568" s="4" t="n">
        <v>45938</v>
      </c>
      <c r="S568" s="0" t="s">
        <v>1321</v>
      </c>
      <c r="T568" s="0" t="n">
        <f aca="false">R568-J568</f>
        <v>6</v>
      </c>
      <c r="U568" s="5" t="n">
        <f aca="false">M568*N568</f>
        <v>1199</v>
      </c>
      <c r="V568" s="6" t="n">
        <f aca="false">IF(O568="FLAT5",5%,IF(O568="FLAT10",10%,IF(O568="FLAT15",15%,IF(O568="FLAT20",20%,0))))</f>
        <v>0.1</v>
      </c>
      <c r="W568" s="5" t="n">
        <f aca="false">U568*(1-V568)</f>
        <v>1079.1</v>
      </c>
      <c r="X568" s="5" t="n">
        <f aca="false">W568+IF(O568="DEL0",0,Q568)</f>
        <v>1169.1</v>
      </c>
      <c r="Y568" s="0" t="str">
        <f aca="false">B568&amp;" "&amp;C568</f>
        <v>Rahul Patel</v>
      </c>
      <c r="Z568" s="0" t="str">
        <f aca="false">IF(T568&lt;P568,"BeforeTime",IF(T568=P568,"Intime","Late"))</f>
        <v>Intime</v>
      </c>
      <c r="AA568" s="0" t="str">
        <f aca="false">TEXT(J568,"mmm")</f>
        <v>Oct</v>
      </c>
      <c r="AB568" s="0" t="e">
        <f aca="false">xlookup(L568,Products!A:A,Products!B:B,"")</f>
        <v>#NAME?</v>
      </c>
    </row>
    <row r="569" customFormat="false" ht="15" hidden="false" customHeight="false" outlineLevel="0" collapsed="false">
      <c r="A569" s="0" t="s">
        <v>823</v>
      </c>
      <c r="B569" s="0" t="s">
        <v>188</v>
      </c>
      <c r="C569" s="0" t="s">
        <v>261</v>
      </c>
      <c r="D569" s="0" t="n">
        <v>31</v>
      </c>
      <c r="E569" s="0" t="s">
        <v>36</v>
      </c>
      <c r="F569" s="0" t="s">
        <v>202</v>
      </c>
      <c r="G569" s="0" t="s">
        <v>2408</v>
      </c>
      <c r="H569" s="0" t="s">
        <v>2393</v>
      </c>
      <c r="I569" s="0" t="s">
        <v>2409</v>
      </c>
      <c r="J569" s="4" t="n">
        <v>45720</v>
      </c>
      <c r="K569" s="0" t="s">
        <v>1467</v>
      </c>
      <c r="L569" s="0" t="s">
        <v>240</v>
      </c>
      <c r="M569" s="5" t="n">
        <v>4999</v>
      </c>
      <c r="N569" s="0" t="n">
        <v>4</v>
      </c>
      <c r="O569" s="0" t="s">
        <v>54</v>
      </c>
      <c r="P569" s="0" t="n">
        <v>2</v>
      </c>
      <c r="Q569" s="5" t="n">
        <v>0</v>
      </c>
      <c r="R569" s="4" t="n">
        <v>45721</v>
      </c>
      <c r="S569" s="0" t="s">
        <v>597</v>
      </c>
      <c r="T569" s="0" t="n">
        <f aca="false">R569-J569</f>
        <v>1</v>
      </c>
      <c r="U569" s="5" t="n">
        <f aca="false">M569*N569</f>
        <v>19996</v>
      </c>
      <c r="V569" s="6" t="n">
        <f aca="false">IF(O569="FLAT5",5%,IF(O569="FLAT10",10%,IF(O569="FLAT15",15%,IF(O569="FLAT20",20%,0))))</f>
        <v>0</v>
      </c>
      <c r="W569" s="5" t="n">
        <f aca="false">U569*(1-V569)</f>
        <v>19996</v>
      </c>
      <c r="X569" s="5" t="n">
        <f aca="false">W569+IF(O569="DEL0",0,Q569)</f>
        <v>19996</v>
      </c>
      <c r="Y569" s="0" t="str">
        <f aca="false">B569&amp;" "&amp;C569</f>
        <v>Rohan Kumar</v>
      </c>
      <c r="Z569" s="0" t="str">
        <f aca="false">IF(T569&lt;P569,"BeforeTime",IF(T569=P569,"Intime","Late"))</f>
        <v>BeforeTime</v>
      </c>
      <c r="AA569" s="0" t="str">
        <f aca="false">TEXT(J569,"mmm")</f>
        <v>Mar</v>
      </c>
      <c r="AB569" s="0" t="e">
        <f aca="false">xlookup(L569,Products!A:A,Products!B:B,"")</f>
        <v>#NAME?</v>
      </c>
    </row>
    <row r="570" customFormat="false" ht="15" hidden="false" customHeight="false" outlineLevel="0" collapsed="false">
      <c r="A570" s="0" t="s">
        <v>684</v>
      </c>
      <c r="B570" s="0" t="s">
        <v>174</v>
      </c>
      <c r="C570" s="0" t="s">
        <v>76</v>
      </c>
      <c r="D570" s="0" t="n">
        <v>27</v>
      </c>
      <c r="E570" s="0" t="s">
        <v>48</v>
      </c>
      <c r="F570" s="0" t="s">
        <v>59</v>
      </c>
      <c r="G570" s="0" t="s">
        <v>2410</v>
      </c>
      <c r="H570" s="0" t="s">
        <v>686</v>
      </c>
      <c r="I570" s="0" t="s">
        <v>2411</v>
      </c>
      <c r="J570" s="4" t="n">
        <v>45994</v>
      </c>
      <c r="K570" s="0" t="s">
        <v>2412</v>
      </c>
      <c r="L570" s="0" t="s">
        <v>240</v>
      </c>
      <c r="M570" s="5" t="n">
        <v>4999</v>
      </c>
      <c r="N570" s="0" t="n">
        <v>2</v>
      </c>
      <c r="O570" s="0" t="s">
        <v>101</v>
      </c>
      <c r="P570" s="0" t="n">
        <v>2</v>
      </c>
      <c r="Q570" s="5" t="n">
        <v>40</v>
      </c>
      <c r="R570" s="4" t="n">
        <v>45996</v>
      </c>
      <c r="S570" s="0" t="s">
        <v>2413</v>
      </c>
      <c r="T570" s="0" t="n">
        <f aca="false">R570-J570</f>
        <v>2</v>
      </c>
      <c r="U570" s="5" t="n">
        <f aca="false">M570*N570</f>
        <v>9998</v>
      </c>
      <c r="V570" s="6" t="n">
        <f aca="false">IF(O570="FLAT5",5%,IF(O570="FLAT10",10%,IF(O570="FLAT15",15%,IF(O570="FLAT20",20%,0))))</f>
        <v>0.15</v>
      </c>
      <c r="W570" s="5" t="n">
        <f aca="false">U570*(1-V570)</f>
        <v>8498.3</v>
      </c>
      <c r="X570" s="5" t="n">
        <f aca="false">W570+IF(O570="DEL0",0,Q570)</f>
        <v>8538.3</v>
      </c>
      <c r="Y570" s="0" t="str">
        <f aca="false">B570&amp;" "&amp;C570</f>
        <v>Ananya Patel</v>
      </c>
      <c r="Z570" s="0" t="str">
        <f aca="false">IF(T570&lt;P570,"BeforeTime",IF(T570=P570,"Intime","Late"))</f>
        <v>Intime</v>
      </c>
      <c r="AA570" s="0" t="str">
        <f aca="false">TEXT(J570,"mmm")</f>
        <v>Dec</v>
      </c>
      <c r="AB570" s="0" t="e">
        <f aca="false">xlookup(L570,Products!A:A,Products!B:B,"")</f>
        <v>#NAME?</v>
      </c>
    </row>
    <row r="571" customFormat="false" ht="15" hidden="false" customHeight="false" outlineLevel="0" collapsed="false">
      <c r="A571" s="0" t="s">
        <v>642</v>
      </c>
      <c r="B571" s="0" t="s">
        <v>94</v>
      </c>
      <c r="C571" s="0" t="s">
        <v>167</v>
      </c>
      <c r="D571" s="0" t="n">
        <v>40</v>
      </c>
      <c r="E571" s="0" t="s">
        <v>48</v>
      </c>
      <c r="F571" s="0" t="s">
        <v>124</v>
      </c>
      <c r="G571" s="0" t="s">
        <v>2414</v>
      </c>
      <c r="H571" s="0" t="s">
        <v>2415</v>
      </c>
      <c r="I571" s="0" t="s">
        <v>2416</v>
      </c>
      <c r="J571" s="4" t="n">
        <v>45997</v>
      </c>
      <c r="K571" s="0" t="s">
        <v>1611</v>
      </c>
      <c r="L571" s="0" t="s">
        <v>240</v>
      </c>
      <c r="M571" s="5" t="n">
        <v>4999</v>
      </c>
      <c r="N571" s="0" t="n">
        <v>2</v>
      </c>
      <c r="O571" s="0" t="s">
        <v>54</v>
      </c>
      <c r="P571" s="0" t="n">
        <v>2</v>
      </c>
      <c r="Q571" s="5" t="n">
        <v>0</v>
      </c>
      <c r="R571" s="4" t="n">
        <v>45999</v>
      </c>
      <c r="S571" s="0" t="s">
        <v>2417</v>
      </c>
      <c r="T571" s="0" t="n">
        <f aca="false">R571-J571</f>
        <v>2</v>
      </c>
      <c r="U571" s="5" t="n">
        <f aca="false">M571*N571</f>
        <v>9998</v>
      </c>
      <c r="V571" s="6" t="n">
        <f aca="false">IF(O571="FLAT5",5%,IF(O571="FLAT10",10%,IF(O571="FLAT15",15%,IF(O571="FLAT20",20%,0))))</f>
        <v>0</v>
      </c>
      <c r="W571" s="5" t="n">
        <f aca="false">U571*(1-V571)</f>
        <v>9998</v>
      </c>
      <c r="X571" s="5" t="n">
        <f aca="false">W571+IF(O571="DEL0",0,Q571)</f>
        <v>9998</v>
      </c>
      <c r="Y571" s="0" t="str">
        <f aca="false">B571&amp;" "&amp;C571</f>
        <v>Manoj Chowdhury</v>
      </c>
      <c r="Z571" s="0" t="str">
        <f aca="false">IF(T571&lt;P571,"BeforeTime",IF(T571=P571,"Intime","Late"))</f>
        <v>Intime</v>
      </c>
      <c r="AA571" s="0" t="str">
        <f aca="false">TEXT(J571,"mmm")</f>
        <v>Dec</v>
      </c>
      <c r="AB571" s="0" t="e">
        <f aca="false">xlookup(L571,Products!A:A,Products!B:B,"")</f>
        <v>#NAME?</v>
      </c>
    </row>
    <row r="572" customFormat="false" ht="15" hidden="false" customHeight="false" outlineLevel="0" collapsed="false">
      <c r="A572" s="0" t="s">
        <v>1272</v>
      </c>
      <c r="B572" s="0" t="s">
        <v>104</v>
      </c>
      <c r="C572" s="0" t="s">
        <v>47</v>
      </c>
      <c r="D572" s="0" t="n">
        <v>57</v>
      </c>
      <c r="E572" s="0" t="s">
        <v>48</v>
      </c>
      <c r="F572" s="0" t="s">
        <v>114</v>
      </c>
      <c r="G572" s="0" t="s">
        <v>2418</v>
      </c>
      <c r="H572" s="0" t="s">
        <v>2419</v>
      </c>
      <c r="I572" s="0" t="s">
        <v>2420</v>
      </c>
      <c r="J572" s="4" t="n">
        <v>45788</v>
      </c>
      <c r="K572" s="0" t="s">
        <v>253</v>
      </c>
      <c r="L572" s="0" t="s">
        <v>42</v>
      </c>
      <c r="M572" s="5" t="n">
        <v>2199</v>
      </c>
      <c r="N572" s="0" t="n">
        <v>4</v>
      </c>
      <c r="O572" s="0" t="s">
        <v>83</v>
      </c>
      <c r="P572" s="0" t="n">
        <v>4</v>
      </c>
      <c r="Q572" s="5" t="n">
        <v>50</v>
      </c>
      <c r="R572" s="4" t="n">
        <v>45792</v>
      </c>
      <c r="S572" s="0" t="s">
        <v>1275</v>
      </c>
      <c r="T572" s="0" t="n">
        <f aca="false">R572-J572</f>
        <v>4</v>
      </c>
      <c r="U572" s="5" t="n">
        <f aca="false">M572*N572</f>
        <v>8796</v>
      </c>
      <c r="V572" s="6" t="n">
        <f aca="false">IF(O572="FLAT5",5%,IF(O572="FLAT10",10%,IF(O572="FLAT15",15%,IF(O572="FLAT20",20%,0))))</f>
        <v>0.05</v>
      </c>
      <c r="W572" s="5" t="n">
        <f aca="false">U572*(1-V572)</f>
        <v>8356.2</v>
      </c>
      <c r="X572" s="5" t="n">
        <f aca="false">W572+IF(O572="DEL0",0,Q572)</f>
        <v>8406.2</v>
      </c>
      <c r="Y572" s="0" t="str">
        <f aca="false">B572&amp;" "&amp;C572</f>
        <v>Keerthi Verma</v>
      </c>
      <c r="Z572" s="0" t="str">
        <f aca="false">IF(T572&lt;P572,"BeforeTime",IF(T572=P572,"Intime","Late"))</f>
        <v>Intime</v>
      </c>
      <c r="AA572" s="0" t="str">
        <f aca="false">TEXT(J572,"mmm")</f>
        <v>May</v>
      </c>
      <c r="AB572" s="0" t="e">
        <f aca="false">xlookup(L572,Products!A:A,Products!B:B,"")</f>
        <v>#NAME?</v>
      </c>
    </row>
    <row r="573" customFormat="false" ht="15" hidden="false" customHeight="false" outlineLevel="0" collapsed="false">
      <c r="A573" s="0" t="s">
        <v>1130</v>
      </c>
      <c r="B573" s="0" t="s">
        <v>209</v>
      </c>
      <c r="C573" s="0" t="s">
        <v>47</v>
      </c>
      <c r="D573" s="0" t="n">
        <v>24</v>
      </c>
      <c r="E573" s="0" t="s">
        <v>48</v>
      </c>
      <c r="F573" s="0" t="s">
        <v>37</v>
      </c>
      <c r="G573" s="0" t="s">
        <v>2421</v>
      </c>
      <c r="H573" s="0" t="s">
        <v>1031</v>
      </c>
      <c r="I573" s="0" t="s">
        <v>2422</v>
      </c>
      <c r="J573" s="4" t="n">
        <v>45989</v>
      </c>
      <c r="K573" s="0" t="s">
        <v>2423</v>
      </c>
      <c r="L573" s="0" t="s">
        <v>82</v>
      </c>
      <c r="M573" s="5" t="n">
        <v>1199</v>
      </c>
      <c r="N573" s="0" t="n">
        <v>3</v>
      </c>
      <c r="O573" s="0" t="s">
        <v>101</v>
      </c>
      <c r="P573" s="0" t="n">
        <v>6</v>
      </c>
      <c r="Q573" s="5" t="n">
        <v>75</v>
      </c>
      <c r="R573" s="4" t="n">
        <v>45995</v>
      </c>
      <c r="S573" s="0" t="s">
        <v>551</v>
      </c>
      <c r="T573" s="0" t="n">
        <f aca="false">R573-J573</f>
        <v>6</v>
      </c>
      <c r="U573" s="5" t="n">
        <f aca="false">M573*N573</f>
        <v>3597</v>
      </c>
      <c r="V573" s="6" t="n">
        <f aca="false">IF(O573="FLAT5",5%,IF(O573="FLAT10",10%,IF(O573="FLAT15",15%,IF(O573="FLAT20",20%,0))))</f>
        <v>0.15</v>
      </c>
      <c r="W573" s="5" t="n">
        <f aca="false">U573*(1-V573)</f>
        <v>3057.45</v>
      </c>
      <c r="X573" s="5" t="n">
        <f aca="false">W573+IF(O573="DEL0",0,Q573)</f>
        <v>3132.45</v>
      </c>
      <c r="Y573" s="0" t="str">
        <f aca="false">B573&amp;" "&amp;C573</f>
        <v>Ishaan Verma</v>
      </c>
      <c r="Z573" s="0" t="str">
        <f aca="false">IF(T573&lt;P573,"BeforeTime",IF(T573=P573,"Intime","Late"))</f>
        <v>Intime</v>
      </c>
      <c r="AA573" s="0" t="str">
        <f aca="false">TEXT(J573,"mmm")</f>
        <v>Nov</v>
      </c>
      <c r="AB573" s="0" t="e">
        <f aca="false">xlookup(L573,Products!A:A,Products!B:B,"")</f>
        <v>#NAME?</v>
      </c>
    </row>
    <row r="574" customFormat="false" ht="15" hidden="false" customHeight="false" outlineLevel="0" collapsed="false">
      <c r="A574" s="0" t="s">
        <v>2424</v>
      </c>
      <c r="B574" s="0" t="s">
        <v>104</v>
      </c>
      <c r="C574" s="0" t="s">
        <v>123</v>
      </c>
      <c r="D574" s="0" t="n">
        <v>24</v>
      </c>
      <c r="E574" s="0" t="s">
        <v>48</v>
      </c>
      <c r="F574" s="0" t="s">
        <v>140</v>
      </c>
      <c r="G574" s="0" t="s">
        <v>2425</v>
      </c>
      <c r="H574" s="0" t="s">
        <v>945</v>
      </c>
      <c r="I574" s="0" t="s">
        <v>2426</v>
      </c>
      <c r="J574" s="4" t="n">
        <v>45866</v>
      </c>
      <c r="K574" s="0" t="s">
        <v>1496</v>
      </c>
      <c r="L574" s="0" t="s">
        <v>240</v>
      </c>
      <c r="M574" s="5" t="n">
        <v>4999</v>
      </c>
      <c r="N574" s="0" t="n">
        <v>1</v>
      </c>
      <c r="O574" s="0" t="s">
        <v>54</v>
      </c>
      <c r="P574" s="0" t="n">
        <v>2</v>
      </c>
      <c r="Q574" s="5" t="n">
        <v>0</v>
      </c>
      <c r="R574" s="4" t="n">
        <v>45868</v>
      </c>
      <c r="S574" s="0" t="s">
        <v>1875</v>
      </c>
      <c r="T574" s="0" t="n">
        <f aca="false">R574-J574</f>
        <v>2</v>
      </c>
      <c r="U574" s="5" t="n">
        <f aca="false">M574*N574</f>
        <v>4999</v>
      </c>
      <c r="V574" s="6" t="n">
        <f aca="false">IF(O574="FLAT5",5%,IF(O574="FLAT10",10%,IF(O574="FLAT15",15%,IF(O574="FLAT20",20%,0))))</f>
        <v>0</v>
      </c>
      <c r="W574" s="5" t="n">
        <f aca="false">U574*(1-V574)</f>
        <v>4999</v>
      </c>
      <c r="X574" s="5" t="n">
        <f aca="false">W574+IF(O574="DEL0",0,Q574)</f>
        <v>4999</v>
      </c>
      <c r="Y574" s="0" t="str">
        <f aca="false">B574&amp;" "&amp;C574</f>
        <v>Keerthi Nair</v>
      </c>
      <c r="Z574" s="0" t="str">
        <f aca="false">IF(T574&lt;P574,"BeforeTime",IF(T574=P574,"Intime","Late"))</f>
        <v>Intime</v>
      </c>
      <c r="AA574" s="0" t="str">
        <f aca="false">TEXT(J574,"mmm")</f>
        <v>Jul</v>
      </c>
      <c r="AB574" s="0" t="e">
        <f aca="false">xlookup(L574,Products!A:A,Products!B:B,"")</f>
        <v>#NAME?</v>
      </c>
    </row>
    <row r="575" customFormat="false" ht="15" hidden="false" customHeight="false" outlineLevel="0" collapsed="false">
      <c r="A575" s="0" t="s">
        <v>411</v>
      </c>
      <c r="B575" s="0" t="s">
        <v>405</v>
      </c>
      <c r="C575" s="0" t="s">
        <v>181</v>
      </c>
      <c r="D575" s="0" t="n">
        <v>20</v>
      </c>
      <c r="E575" s="0" t="s">
        <v>36</v>
      </c>
      <c r="F575" s="0" t="s">
        <v>160</v>
      </c>
      <c r="G575" s="0" t="s">
        <v>2427</v>
      </c>
      <c r="H575" s="0" t="s">
        <v>116</v>
      </c>
      <c r="I575" s="0" t="s">
        <v>2428</v>
      </c>
      <c r="J575" s="4" t="n">
        <v>45721</v>
      </c>
      <c r="K575" s="0" t="s">
        <v>656</v>
      </c>
      <c r="L575" s="0" t="s">
        <v>100</v>
      </c>
      <c r="M575" s="5" t="n">
        <v>999</v>
      </c>
      <c r="N575" s="0" t="n">
        <v>4</v>
      </c>
      <c r="O575" s="0" t="s">
        <v>259</v>
      </c>
      <c r="P575" s="0" t="n">
        <v>3</v>
      </c>
      <c r="Q575" s="5" t="n">
        <v>60</v>
      </c>
      <c r="R575" s="4" t="n">
        <v>45724</v>
      </c>
      <c r="S575" s="0" t="s">
        <v>928</v>
      </c>
      <c r="T575" s="0" t="n">
        <f aca="false">R575-J575</f>
        <v>3</v>
      </c>
      <c r="U575" s="5" t="n">
        <f aca="false">M575*N575</f>
        <v>3996</v>
      </c>
      <c r="V575" s="6" t="n">
        <f aca="false">IF(O575="FLAT5",5%,IF(O575="FLAT10",10%,IF(O575="FLAT15",15%,IF(O575="FLAT20",20%,0))))</f>
        <v>0</v>
      </c>
      <c r="W575" s="5" t="n">
        <f aca="false">U575*(1-V575)</f>
        <v>3996</v>
      </c>
      <c r="X575" s="5" t="n">
        <f aca="false">W575+IF(O575="DEL0",0,Q575)</f>
        <v>4056</v>
      </c>
      <c r="Y575" s="0" t="str">
        <f aca="false">B575&amp;" "&amp;C575</f>
        <v>Sneha Gupta</v>
      </c>
      <c r="Z575" s="0" t="str">
        <f aca="false">IF(T575&lt;P575,"BeforeTime",IF(T575=P575,"Intime","Late"))</f>
        <v>Intime</v>
      </c>
      <c r="AA575" s="0" t="str">
        <f aca="false">TEXT(J575,"mmm")</f>
        <v>Mar</v>
      </c>
      <c r="AB575" s="0" t="e">
        <f aca="false">xlookup(L575,Products!A:A,Products!B:B,"")</f>
        <v>#NAME?</v>
      </c>
    </row>
    <row r="576" customFormat="false" ht="15" hidden="false" customHeight="false" outlineLevel="0" collapsed="false">
      <c r="A576" s="0" t="s">
        <v>657</v>
      </c>
      <c r="B576" s="0" t="s">
        <v>122</v>
      </c>
      <c r="C576" s="0" t="s">
        <v>181</v>
      </c>
      <c r="D576" s="0" t="n">
        <v>58</v>
      </c>
      <c r="E576" s="0" t="s">
        <v>36</v>
      </c>
      <c r="F576" s="0" t="s">
        <v>202</v>
      </c>
      <c r="G576" s="0" t="s">
        <v>2429</v>
      </c>
      <c r="H576" s="0" t="s">
        <v>2430</v>
      </c>
      <c r="I576" s="0" t="s">
        <v>2431</v>
      </c>
      <c r="J576" s="4" t="n">
        <v>45857</v>
      </c>
      <c r="K576" s="0" t="s">
        <v>2432</v>
      </c>
      <c r="L576" s="0" t="s">
        <v>42</v>
      </c>
      <c r="M576" s="5" t="n">
        <v>2199</v>
      </c>
      <c r="N576" s="0" t="n">
        <v>3</v>
      </c>
      <c r="O576" s="0" t="s">
        <v>259</v>
      </c>
      <c r="P576" s="0" t="n">
        <v>3</v>
      </c>
      <c r="Q576" s="5" t="n">
        <v>120</v>
      </c>
      <c r="R576" s="4" t="n">
        <v>45860</v>
      </c>
      <c r="S576" s="0" t="s">
        <v>2111</v>
      </c>
      <c r="T576" s="0" t="n">
        <f aca="false">R576-J576</f>
        <v>3</v>
      </c>
      <c r="U576" s="5" t="n">
        <f aca="false">M576*N576</f>
        <v>6597</v>
      </c>
      <c r="V576" s="6" t="n">
        <f aca="false">IF(O576="FLAT5",5%,IF(O576="FLAT10",10%,IF(O576="FLAT15",15%,IF(O576="FLAT20",20%,0))))</f>
        <v>0</v>
      </c>
      <c r="W576" s="5" t="n">
        <f aca="false">U576*(1-V576)</f>
        <v>6597</v>
      </c>
      <c r="X576" s="5" t="n">
        <f aca="false">W576+IF(O576="DEL0",0,Q576)</f>
        <v>6717</v>
      </c>
      <c r="Y576" s="0" t="str">
        <f aca="false">B576&amp;" "&amp;C576</f>
        <v>Meera Gupta</v>
      </c>
      <c r="Z576" s="0" t="str">
        <f aca="false">IF(T576&lt;P576,"BeforeTime",IF(T576=P576,"Intime","Late"))</f>
        <v>Intime</v>
      </c>
      <c r="AA576" s="0" t="str">
        <f aca="false">TEXT(J576,"mmm")</f>
        <v>Jul</v>
      </c>
      <c r="AB576" s="0" t="e">
        <f aca="false">xlookup(L576,Products!A:A,Products!B:B,"")</f>
        <v>#NAME?</v>
      </c>
    </row>
    <row r="577" customFormat="false" ht="15" hidden="false" customHeight="false" outlineLevel="0" collapsed="false">
      <c r="A577" s="0" t="s">
        <v>393</v>
      </c>
      <c r="B577" s="0" t="s">
        <v>94</v>
      </c>
      <c r="C577" s="0" t="s">
        <v>195</v>
      </c>
      <c r="D577" s="0" t="n">
        <v>36</v>
      </c>
      <c r="E577" s="0" t="s">
        <v>36</v>
      </c>
      <c r="F577" s="0" t="s">
        <v>77</v>
      </c>
      <c r="G577" s="0" t="s">
        <v>2433</v>
      </c>
      <c r="H577" s="0" t="s">
        <v>751</v>
      </c>
      <c r="I577" s="0" t="s">
        <v>2434</v>
      </c>
      <c r="J577" s="4" t="n">
        <v>45731</v>
      </c>
      <c r="K577" s="0" t="s">
        <v>780</v>
      </c>
      <c r="L577" s="0" t="s">
        <v>82</v>
      </c>
      <c r="M577" s="5" t="n">
        <v>1199</v>
      </c>
      <c r="N577" s="0" t="n">
        <v>2</v>
      </c>
      <c r="O577" s="0" t="s">
        <v>43</v>
      </c>
      <c r="P577" s="0" t="n">
        <v>5</v>
      </c>
      <c r="Q577" s="5" t="n">
        <v>60</v>
      </c>
      <c r="R577" s="4" t="n">
        <v>45736</v>
      </c>
      <c r="S577" s="0" t="s">
        <v>253</v>
      </c>
      <c r="T577" s="0" t="n">
        <f aca="false">R577-J577</f>
        <v>5</v>
      </c>
      <c r="U577" s="5" t="n">
        <f aca="false">M577*N577</f>
        <v>2398</v>
      </c>
      <c r="V577" s="6" t="n">
        <f aca="false">IF(O577="FLAT5",5%,IF(O577="FLAT10",10%,IF(O577="FLAT15",15%,IF(O577="FLAT20",20%,0))))</f>
        <v>0.2</v>
      </c>
      <c r="W577" s="5" t="n">
        <f aca="false">U577*(1-V577)</f>
        <v>1918.4</v>
      </c>
      <c r="X577" s="5" t="n">
        <f aca="false">W577+IF(O577="DEL0",0,Q577)</f>
        <v>1978.4</v>
      </c>
      <c r="Y577" s="0" t="str">
        <f aca="false">B577&amp;" "&amp;C577</f>
        <v>Manoj Singh</v>
      </c>
      <c r="Z577" s="0" t="str">
        <f aca="false">IF(T577&lt;P577,"BeforeTime",IF(T577=P577,"Intime","Late"))</f>
        <v>Intime</v>
      </c>
      <c r="AA577" s="0" t="str">
        <f aca="false">TEXT(J577,"mmm")</f>
        <v>Mar</v>
      </c>
      <c r="AB577" s="0" t="e">
        <f aca="false">xlookup(L577,Products!A:A,Products!B:B,"")</f>
        <v>#NAME?</v>
      </c>
    </row>
    <row r="578" customFormat="false" ht="15" hidden="false" customHeight="false" outlineLevel="0" collapsed="false">
      <c r="A578" s="0" t="s">
        <v>1188</v>
      </c>
      <c r="B578" s="0" t="s">
        <v>104</v>
      </c>
      <c r="C578" s="0" t="s">
        <v>95</v>
      </c>
      <c r="D578" s="0" t="n">
        <v>49</v>
      </c>
      <c r="E578" s="0" t="s">
        <v>36</v>
      </c>
      <c r="F578" s="0" t="s">
        <v>248</v>
      </c>
      <c r="G578" s="0" t="s">
        <v>2435</v>
      </c>
      <c r="H578" s="0" t="s">
        <v>882</v>
      </c>
      <c r="I578" s="0" t="s">
        <v>2436</v>
      </c>
      <c r="J578" s="4" t="n">
        <v>45799</v>
      </c>
      <c r="K578" s="0" t="s">
        <v>862</v>
      </c>
      <c r="L578" s="0" t="s">
        <v>391</v>
      </c>
      <c r="M578" s="5" t="n">
        <v>3499</v>
      </c>
      <c r="N578" s="0" t="n">
        <v>4</v>
      </c>
      <c r="O578" s="0" t="s">
        <v>101</v>
      </c>
      <c r="P578" s="0" t="n">
        <v>5</v>
      </c>
      <c r="Q578" s="5" t="n">
        <v>120</v>
      </c>
      <c r="R578" s="4" t="n">
        <v>45804</v>
      </c>
      <c r="S578" s="0" t="s">
        <v>907</v>
      </c>
      <c r="T578" s="0" t="n">
        <f aca="false">R578-J578</f>
        <v>5</v>
      </c>
      <c r="U578" s="5" t="n">
        <f aca="false">M578*N578</f>
        <v>13996</v>
      </c>
      <c r="V578" s="6" t="n">
        <f aca="false">IF(O578="FLAT5",5%,IF(O578="FLAT10",10%,IF(O578="FLAT15",15%,IF(O578="FLAT20",20%,0))))</f>
        <v>0.15</v>
      </c>
      <c r="W578" s="5" t="n">
        <f aca="false">U578*(1-V578)</f>
        <v>11896.6</v>
      </c>
      <c r="X578" s="5" t="n">
        <f aca="false">W578+IF(O578="DEL0",0,Q578)</f>
        <v>12016.6</v>
      </c>
      <c r="Y578" s="0" t="str">
        <f aca="false">B578&amp;" "&amp;C578</f>
        <v>Keerthi Mishra</v>
      </c>
      <c r="Z578" s="0" t="str">
        <f aca="false">IF(T578&lt;P578,"BeforeTime",IF(T578=P578,"Intime","Late"))</f>
        <v>Intime</v>
      </c>
      <c r="AA578" s="0" t="str">
        <f aca="false">TEXT(J578,"mmm")</f>
        <v>May</v>
      </c>
      <c r="AB578" s="0" t="e">
        <f aca="false">xlookup(L578,Products!A:A,Products!B:B,"")</f>
        <v>#NAME?</v>
      </c>
    </row>
    <row r="579" customFormat="false" ht="15" hidden="false" customHeight="false" outlineLevel="0" collapsed="false">
      <c r="A579" s="0" t="s">
        <v>305</v>
      </c>
      <c r="B579" s="0" t="s">
        <v>282</v>
      </c>
      <c r="C579" s="0" t="s">
        <v>229</v>
      </c>
      <c r="D579" s="0" t="n">
        <v>25</v>
      </c>
      <c r="E579" s="0" t="s">
        <v>36</v>
      </c>
      <c r="F579" s="0" t="s">
        <v>140</v>
      </c>
      <c r="G579" s="0" t="s">
        <v>2437</v>
      </c>
      <c r="H579" s="0" t="s">
        <v>1543</v>
      </c>
      <c r="I579" s="0" t="s">
        <v>2438</v>
      </c>
      <c r="J579" s="4" t="n">
        <v>45742</v>
      </c>
      <c r="K579" s="0" t="s">
        <v>2439</v>
      </c>
      <c r="L579" s="0" t="s">
        <v>82</v>
      </c>
      <c r="M579" s="5" t="n">
        <v>1199</v>
      </c>
      <c r="N579" s="0" t="n">
        <v>2</v>
      </c>
      <c r="O579" s="0" t="s">
        <v>259</v>
      </c>
      <c r="P579" s="0" t="n">
        <v>6</v>
      </c>
      <c r="Q579" s="5" t="n">
        <v>90</v>
      </c>
      <c r="R579" s="4" t="n">
        <v>45745</v>
      </c>
      <c r="S579" s="0" t="s">
        <v>1581</v>
      </c>
      <c r="T579" s="0" t="n">
        <f aca="false">R579-J579</f>
        <v>3</v>
      </c>
      <c r="U579" s="5" t="n">
        <f aca="false">M579*N579</f>
        <v>2398</v>
      </c>
      <c r="V579" s="6" t="n">
        <f aca="false">IF(O579="FLAT5",5%,IF(O579="FLAT10",10%,IF(O579="FLAT15",15%,IF(O579="FLAT20",20%,0))))</f>
        <v>0</v>
      </c>
      <c r="W579" s="5" t="n">
        <f aca="false">U579*(1-V579)</f>
        <v>2398</v>
      </c>
      <c r="X579" s="5" t="n">
        <f aca="false">W579+IF(O579="DEL0",0,Q579)</f>
        <v>2488</v>
      </c>
      <c r="Y579" s="0" t="str">
        <f aca="false">B579&amp;" "&amp;C579</f>
        <v>Nisha Joshi</v>
      </c>
      <c r="Z579" s="0" t="str">
        <f aca="false">IF(T579&lt;P579,"BeforeTime",IF(T579=P579,"Intime","Late"))</f>
        <v>BeforeTime</v>
      </c>
      <c r="AA579" s="0" t="str">
        <f aca="false">TEXT(J579,"mmm")</f>
        <v>Mar</v>
      </c>
      <c r="AB579" s="0" t="e">
        <f aca="false">xlookup(L579,Products!A:A,Products!B:B,"")</f>
        <v>#NAME?</v>
      </c>
    </row>
    <row r="580" customFormat="false" ht="15" hidden="false" customHeight="false" outlineLevel="0" collapsed="false">
      <c r="A580" s="0" t="s">
        <v>1871</v>
      </c>
      <c r="B580" s="0" t="s">
        <v>209</v>
      </c>
      <c r="C580" s="0" t="s">
        <v>167</v>
      </c>
      <c r="D580" s="0" t="n">
        <v>51</v>
      </c>
      <c r="E580" s="0" t="s">
        <v>36</v>
      </c>
      <c r="F580" s="0" t="s">
        <v>160</v>
      </c>
      <c r="G580" s="0" t="s">
        <v>2440</v>
      </c>
      <c r="H580" s="0" t="s">
        <v>1013</v>
      </c>
      <c r="I580" s="0" t="s">
        <v>2441</v>
      </c>
      <c r="J580" s="4" t="n">
        <v>45661</v>
      </c>
      <c r="K580" s="0" t="s">
        <v>2154</v>
      </c>
      <c r="L580" s="0" t="s">
        <v>110</v>
      </c>
      <c r="M580" s="5" t="n">
        <v>1499</v>
      </c>
      <c r="N580" s="0" t="n">
        <v>2</v>
      </c>
      <c r="O580" s="0" t="s">
        <v>259</v>
      </c>
      <c r="P580" s="0" t="n">
        <v>7</v>
      </c>
      <c r="Q580" s="5" t="n">
        <v>90</v>
      </c>
      <c r="R580" s="4" t="n">
        <v>45668</v>
      </c>
      <c r="S580" s="0" t="s">
        <v>2442</v>
      </c>
      <c r="T580" s="0" t="n">
        <f aca="false">R580-J580</f>
        <v>7</v>
      </c>
      <c r="U580" s="5" t="n">
        <f aca="false">M580*N580</f>
        <v>2998</v>
      </c>
      <c r="V580" s="6" t="n">
        <f aca="false">IF(O580="FLAT5",5%,IF(O580="FLAT10",10%,IF(O580="FLAT15",15%,IF(O580="FLAT20",20%,0))))</f>
        <v>0</v>
      </c>
      <c r="W580" s="5" t="n">
        <f aca="false">U580*(1-V580)</f>
        <v>2998</v>
      </c>
      <c r="X580" s="5" t="n">
        <f aca="false">W580+IF(O580="DEL0",0,Q580)</f>
        <v>3088</v>
      </c>
      <c r="Y580" s="0" t="str">
        <f aca="false">B580&amp;" "&amp;C580</f>
        <v>Ishaan Chowdhury</v>
      </c>
      <c r="Z580" s="0" t="str">
        <f aca="false">IF(T580&lt;P580,"BeforeTime",IF(T580=P580,"Intime","Late"))</f>
        <v>Intime</v>
      </c>
      <c r="AA580" s="0" t="str">
        <f aca="false">TEXT(J580,"mmm")</f>
        <v>Jan</v>
      </c>
      <c r="AB580" s="0" t="e">
        <f aca="false">xlookup(L580,Products!A:A,Products!B:B,"")</f>
        <v>#NAME?</v>
      </c>
    </row>
    <row r="581" customFormat="false" ht="15" hidden="false" customHeight="false" outlineLevel="0" collapsed="false">
      <c r="A581" s="0" t="s">
        <v>969</v>
      </c>
      <c r="B581" s="0" t="s">
        <v>104</v>
      </c>
      <c r="C581" s="0" t="s">
        <v>210</v>
      </c>
      <c r="D581" s="0" t="n">
        <v>58</v>
      </c>
      <c r="E581" s="0" t="s">
        <v>48</v>
      </c>
      <c r="F581" s="0" t="s">
        <v>262</v>
      </c>
      <c r="G581" s="0" t="s">
        <v>2443</v>
      </c>
      <c r="H581" s="0" t="s">
        <v>544</v>
      </c>
      <c r="I581" s="0" t="s">
        <v>2444</v>
      </c>
      <c r="J581" s="4" t="n">
        <v>45845</v>
      </c>
      <c r="K581" s="0" t="s">
        <v>2445</v>
      </c>
      <c r="L581" s="0" t="s">
        <v>119</v>
      </c>
      <c r="M581" s="5" t="n">
        <v>899</v>
      </c>
      <c r="N581" s="0" t="n">
        <v>2</v>
      </c>
      <c r="O581" s="0" t="s">
        <v>83</v>
      </c>
      <c r="P581" s="0" t="n">
        <v>3</v>
      </c>
      <c r="Q581" s="5" t="n">
        <v>40</v>
      </c>
      <c r="R581" s="4" t="n">
        <v>45848</v>
      </c>
      <c r="S581" s="0" t="s">
        <v>2355</v>
      </c>
      <c r="T581" s="0" t="n">
        <f aca="false">R581-J581</f>
        <v>3</v>
      </c>
      <c r="U581" s="5" t="n">
        <f aca="false">M581*N581</f>
        <v>1798</v>
      </c>
      <c r="V581" s="6" t="n">
        <f aca="false">IF(O581="FLAT5",5%,IF(O581="FLAT10",10%,IF(O581="FLAT15",15%,IF(O581="FLAT20",20%,0))))</f>
        <v>0.05</v>
      </c>
      <c r="W581" s="5" t="n">
        <f aca="false">U581*(1-V581)</f>
        <v>1708.1</v>
      </c>
      <c r="X581" s="5" t="n">
        <f aca="false">W581+IF(O581="DEL0",0,Q581)</f>
        <v>1748.1</v>
      </c>
      <c r="Y581" s="0" t="str">
        <f aca="false">B581&amp;" "&amp;C581</f>
        <v>Keerthi Reddy</v>
      </c>
      <c r="Z581" s="0" t="str">
        <f aca="false">IF(T581&lt;P581,"BeforeTime",IF(T581=P581,"Intime","Late"))</f>
        <v>Intime</v>
      </c>
      <c r="AA581" s="0" t="str">
        <f aca="false">TEXT(J581,"mmm")</f>
        <v>Jul</v>
      </c>
      <c r="AB581" s="0" t="e">
        <f aca="false">xlookup(L581,Products!A:A,Products!B:B,"")</f>
        <v>#NAME?</v>
      </c>
    </row>
    <row r="582" customFormat="false" ht="15" hidden="false" customHeight="false" outlineLevel="0" collapsed="false">
      <c r="A582" s="0" t="s">
        <v>305</v>
      </c>
      <c r="B582" s="0" t="s">
        <v>405</v>
      </c>
      <c r="C582" s="0" t="s">
        <v>261</v>
      </c>
      <c r="D582" s="0" t="n">
        <v>38</v>
      </c>
      <c r="E582" s="0" t="s">
        <v>48</v>
      </c>
      <c r="F582" s="0" t="s">
        <v>248</v>
      </c>
      <c r="G582" s="0" t="s">
        <v>2446</v>
      </c>
      <c r="H582" s="0" t="s">
        <v>1328</v>
      </c>
      <c r="I582" s="0" t="s">
        <v>2447</v>
      </c>
      <c r="J582" s="4" t="n">
        <v>45981</v>
      </c>
      <c r="K582" s="0" t="s">
        <v>2448</v>
      </c>
      <c r="L582" s="0" t="s">
        <v>72</v>
      </c>
      <c r="M582" s="5" t="n">
        <v>1299</v>
      </c>
      <c r="N582" s="0" t="n">
        <v>3</v>
      </c>
      <c r="O582" s="0" t="s">
        <v>91</v>
      </c>
      <c r="P582" s="0" t="n">
        <v>6</v>
      </c>
      <c r="Q582" s="5" t="n">
        <v>60</v>
      </c>
      <c r="R582" s="4" t="n">
        <v>45987</v>
      </c>
      <c r="S582" s="0" t="s">
        <v>118</v>
      </c>
      <c r="T582" s="0" t="n">
        <f aca="false">R582-J582</f>
        <v>6</v>
      </c>
      <c r="U582" s="5" t="n">
        <f aca="false">M582*N582</f>
        <v>3897</v>
      </c>
      <c r="V582" s="6" t="n">
        <f aca="false">IF(O582="FLAT5",5%,IF(O582="FLAT10",10%,IF(O582="FLAT15",15%,IF(O582="FLAT20",20%,0))))</f>
        <v>0.1</v>
      </c>
      <c r="W582" s="5" t="n">
        <f aca="false">U582*(1-V582)</f>
        <v>3507.3</v>
      </c>
      <c r="X582" s="5" t="n">
        <f aca="false">W582+IF(O582="DEL0",0,Q582)</f>
        <v>3567.3</v>
      </c>
      <c r="Y582" s="0" t="str">
        <f aca="false">B582&amp;" "&amp;C582</f>
        <v>Sneha Kumar</v>
      </c>
      <c r="Z582" s="0" t="str">
        <f aca="false">IF(T582&lt;P582,"BeforeTime",IF(T582=P582,"Intime","Late"))</f>
        <v>Intime</v>
      </c>
      <c r="AA582" s="0" t="str">
        <f aca="false">TEXT(J582,"mmm")</f>
        <v>Nov</v>
      </c>
      <c r="AB582" s="0" t="e">
        <f aca="false">xlookup(L582,Products!A:A,Products!B:B,"")</f>
        <v>#NAME?</v>
      </c>
    </row>
    <row r="583" customFormat="false" ht="15" hidden="false" customHeight="false" outlineLevel="0" collapsed="false">
      <c r="A583" s="0" t="s">
        <v>943</v>
      </c>
      <c r="B583" s="0" t="s">
        <v>394</v>
      </c>
      <c r="C583" s="0" t="s">
        <v>167</v>
      </c>
      <c r="D583" s="0" t="n">
        <v>23</v>
      </c>
      <c r="E583" s="0" t="s">
        <v>48</v>
      </c>
      <c r="F583" s="0" t="s">
        <v>202</v>
      </c>
      <c r="G583" s="0" t="s">
        <v>2449</v>
      </c>
      <c r="H583" s="0" t="s">
        <v>716</v>
      </c>
      <c r="I583" s="0" t="s">
        <v>2450</v>
      </c>
      <c r="J583" s="4" t="n">
        <v>45839</v>
      </c>
      <c r="K583" s="0" t="s">
        <v>996</v>
      </c>
      <c r="L583" s="0" t="s">
        <v>64</v>
      </c>
      <c r="M583" s="5" t="n">
        <v>2799</v>
      </c>
      <c r="N583" s="0" t="n">
        <v>4</v>
      </c>
      <c r="O583" s="0" t="s">
        <v>91</v>
      </c>
      <c r="P583" s="0" t="n">
        <v>2</v>
      </c>
      <c r="Q583" s="5" t="n">
        <v>120</v>
      </c>
      <c r="R583" s="4" t="n">
        <v>45840</v>
      </c>
      <c r="S583" s="0" t="s">
        <v>2215</v>
      </c>
      <c r="T583" s="0" t="n">
        <f aca="false">R583-J583</f>
        <v>1</v>
      </c>
      <c r="U583" s="5" t="n">
        <f aca="false">M583*N583</f>
        <v>11196</v>
      </c>
      <c r="V583" s="6" t="n">
        <f aca="false">IF(O583="FLAT5",5%,IF(O583="FLAT10",10%,IF(O583="FLAT15",15%,IF(O583="FLAT20",20%,0))))</f>
        <v>0.1</v>
      </c>
      <c r="W583" s="5" t="n">
        <f aca="false">U583*(1-V583)</f>
        <v>10076.4</v>
      </c>
      <c r="X583" s="5" t="n">
        <f aca="false">W583+IF(O583="DEL0",0,Q583)</f>
        <v>10196.4</v>
      </c>
      <c r="Y583" s="0" t="str">
        <f aca="false">B583&amp;" "&amp;C583</f>
        <v>Kiran Chowdhury</v>
      </c>
      <c r="Z583" s="0" t="str">
        <f aca="false">IF(T583&lt;P583,"BeforeTime",IF(T583=P583,"Intime","Late"))</f>
        <v>BeforeTime</v>
      </c>
      <c r="AA583" s="0" t="str">
        <f aca="false">TEXT(J583,"mmm")</f>
        <v>Jul</v>
      </c>
      <c r="AB583" s="0" t="e">
        <f aca="false">xlookup(L583,Products!A:A,Products!B:B,"")</f>
        <v>#NAME?</v>
      </c>
    </row>
    <row r="584" customFormat="false" ht="15" hidden="false" customHeight="false" outlineLevel="0" collapsed="false">
      <c r="A584" s="0" t="s">
        <v>1085</v>
      </c>
      <c r="B584" s="0" t="s">
        <v>188</v>
      </c>
      <c r="C584" s="0" t="s">
        <v>76</v>
      </c>
      <c r="D584" s="0" t="n">
        <v>53</v>
      </c>
      <c r="E584" s="0" t="s">
        <v>36</v>
      </c>
      <c r="F584" s="0" t="s">
        <v>160</v>
      </c>
      <c r="G584" s="0" t="s">
        <v>2451</v>
      </c>
      <c r="H584" s="0" t="s">
        <v>1081</v>
      </c>
      <c r="I584" s="0" t="s">
        <v>2452</v>
      </c>
      <c r="J584" s="4" t="n">
        <v>45994</v>
      </c>
      <c r="K584" s="0" t="s">
        <v>2139</v>
      </c>
      <c r="L584" s="0" t="s">
        <v>129</v>
      </c>
      <c r="M584" s="5" t="n">
        <v>2999</v>
      </c>
      <c r="N584" s="0" t="n">
        <v>4</v>
      </c>
      <c r="O584" s="0" t="s">
        <v>83</v>
      </c>
      <c r="P584" s="0" t="n">
        <v>4</v>
      </c>
      <c r="Q584" s="5" t="n">
        <v>75</v>
      </c>
      <c r="R584" s="4" t="n">
        <v>45998</v>
      </c>
      <c r="S584" s="0" t="s">
        <v>812</v>
      </c>
      <c r="T584" s="0" t="n">
        <f aca="false">R584-J584</f>
        <v>4</v>
      </c>
      <c r="U584" s="5" t="n">
        <f aca="false">M584*N584</f>
        <v>11996</v>
      </c>
      <c r="V584" s="6" t="n">
        <f aca="false">IF(O584="FLAT5",5%,IF(O584="FLAT10",10%,IF(O584="FLAT15",15%,IF(O584="FLAT20",20%,0))))</f>
        <v>0.05</v>
      </c>
      <c r="W584" s="5" t="n">
        <f aca="false">U584*(1-V584)</f>
        <v>11396.2</v>
      </c>
      <c r="X584" s="5" t="n">
        <f aca="false">W584+IF(O584="DEL0",0,Q584)</f>
        <v>11471.2</v>
      </c>
      <c r="Y584" s="0" t="str">
        <f aca="false">B584&amp;" "&amp;C584</f>
        <v>Rohan Patel</v>
      </c>
      <c r="Z584" s="0" t="str">
        <f aca="false">IF(T584&lt;P584,"BeforeTime",IF(T584=P584,"Intime","Late"))</f>
        <v>Intime</v>
      </c>
      <c r="AA584" s="0" t="str">
        <f aca="false">TEXT(J584,"mmm")</f>
        <v>Dec</v>
      </c>
      <c r="AB584" s="0" t="e">
        <f aca="false">xlookup(L584,Products!A:A,Products!B:B,"")</f>
        <v>#NAME?</v>
      </c>
    </row>
    <row r="585" customFormat="false" ht="15" hidden="false" customHeight="false" outlineLevel="0" collapsed="false">
      <c r="A585" s="0" t="s">
        <v>103</v>
      </c>
      <c r="B585" s="0" t="s">
        <v>75</v>
      </c>
      <c r="C585" s="0" t="s">
        <v>261</v>
      </c>
      <c r="D585" s="0" t="n">
        <v>48</v>
      </c>
      <c r="E585" s="0" t="s">
        <v>48</v>
      </c>
      <c r="F585" s="0" t="s">
        <v>262</v>
      </c>
      <c r="G585" s="0" t="s">
        <v>2453</v>
      </c>
      <c r="H585" s="0" t="s">
        <v>2454</v>
      </c>
      <c r="I585" s="0" t="s">
        <v>2455</v>
      </c>
      <c r="J585" s="4" t="n">
        <v>45660</v>
      </c>
      <c r="K585" s="0" t="s">
        <v>1947</v>
      </c>
      <c r="L585" s="0" t="s">
        <v>42</v>
      </c>
      <c r="M585" s="5" t="n">
        <v>2199</v>
      </c>
      <c r="N585" s="0" t="n">
        <v>3</v>
      </c>
      <c r="O585" s="0" t="s">
        <v>54</v>
      </c>
      <c r="P585" s="0" t="n">
        <v>4</v>
      </c>
      <c r="Q585" s="5" t="n">
        <v>0</v>
      </c>
      <c r="R585" s="4" t="n">
        <v>45666</v>
      </c>
      <c r="S585" s="0" t="s">
        <v>2292</v>
      </c>
      <c r="T585" s="0" t="n">
        <f aca="false">R585-J585</f>
        <v>6</v>
      </c>
      <c r="U585" s="5" t="n">
        <f aca="false">M585*N585</f>
        <v>6597</v>
      </c>
      <c r="V585" s="6" t="n">
        <f aca="false">IF(O585="FLAT5",5%,IF(O585="FLAT10",10%,IF(O585="FLAT15",15%,IF(O585="FLAT20",20%,0))))</f>
        <v>0</v>
      </c>
      <c r="W585" s="5" t="n">
        <f aca="false">U585*(1-V585)</f>
        <v>6597</v>
      </c>
      <c r="X585" s="5" t="n">
        <f aca="false">W585+IF(O585="DEL0",0,Q585)</f>
        <v>6597</v>
      </c>
      <c r="Y585" s="0" t="str">
        <f aca="false">B585&amp;" "&amp;C585</f>
        <v>Vikram Kumar</v>
      </c>
      <c r="Z585" s="0" t="str">
        <f aca="false">IF(T585&lt;P585,"BeforeTime",IF(T585=P585,"Intime","Late"))</f>
        <v>Late</v>
      </c>
      <c r="AA585" s="0" t="str">
        <f aca="false">TEXT(J585,"mmm")</f>
        <v>Jan</v>
      </c>
      <c r="AB585" s="0" t="e">
        <f aca="false">xlookup(L585,Products!A:A,Products!B:B,"")</f>
        <v>#NAME?</v>
      </c>
    </row>
    <row r="586" customFormat="false" ht="15" hidden="false" customHeight="false" outlineLevel="0" collapsed="false">
      <c r="A586" s="0" t="s">
        <v>1208</v>
      </c>
      <c r="B586" s="0" t="s">
        <v>86</v>
      </c>
      <c r="C586" s="0" t="s">
        <v>210</v>
      </c>
      <c r="D586" s="0" t="n">
        <v>30</v>
      </c>
      <c r="E586" s="0" t="s">
        <v>36</v>
      </c>
      <c r="F586" s="0" t="s">
        <v>248</v>
      </c>
      <c r="G586" s="0" t="s">
        <v>2456</v>
      </c>
      <c r="H586" s="0" t="s">
        <v>1745</v>
      </c>
      <c r="I586" s="0" t="s">
        <v>2457</v>
      </c>
      <c r="J586" s="4" t="n">
        <v>45908</v>
      </c>
      <c r="K586" s="0" t="s">
        <v>637</v>
      </c>
      <c r="L586" s="0" t="s">
        <v>119</v>
      </c>
      <c r="M586" s="5" t="n">
        <v>899</v>
      </c>
      <c r="N586" s="0" t="n">
        <v>3</v>
      </c>
      <c r="O586" s="0" t="s">
        <v>83</v>
      </c>
      <c r="P586" s="0" t="n">
        <v>6</v>
      </c>
      <c r="Q586" s="5" t="n">
        <v>120</v>
      </c>
      <c r="R586" s="4" t="n">
        <v>45914</v>
      </c>
      <c r="S586" s="0" t="s">
        <v>1393</v>
      </c>
      <c r="T586" s="0" t="n">
        <f aca="false">R586-J586</f>
        <v>6</v>
      </c>
      <c r="U586" s="5" t="n">
        <f aca="false">M586*N586</f>
        <v>2697</v>
      </c>
      <c r="V586" s="6" t="n">
        <f aca="false">IF(O586="FLAT5",5%,IF(O586="FLAT10",10%,IF(O586="FLAT15",15%,IF(O586="FLAT20",20%,0))))</f>
        <v>0.05</v>
      </c>
      <c r="W586" s="5" t="n">
        <f aca="false">U586*(1-V586)</f>
        <v>2562.15</v>
      </c>
      <c r="X586" s="5" t="n">
        <f aca="false">W586+IF(O586="DEL0",0,Q586)</f>
        <v>2682.15</v>
      </c>
      <c r="Y586" s="0" t="str">
        <f aca="false">B586&amp;" "&amp;C586</f>
        <v>Rahul Reddy</v>
      </c>
      <c r="Z586" s="0" t="str">
        <f aca="false">IF(T586&lt;P586,"BeforeTime",IF(T586=P586,"Intime","Late"))</f>
        <v>Intime</v>
      </c>
      <c r="AA586" s="0" t="str">
        <f aca="false">TEXT(J586,"mmm")</f>
        <v>Sep</v>
      </c>
      <c r="AB586" s="0" t="e">
        <f aca="false">xlookup(L586,Products!A:A,Products!B:B,"")</f>
        <v>#NAME?</v>
      </c>
    </row>
    <row r="587" customFormat="false" ht="15" hidden="false" customHeight="false" outlineLevel="0" collapsed="false">
      <c r="A587" s="0" t="s">
        <v>1649</v>
      </c>
      <c r="B587" s="0" t="s">
        <v>294</v>
      </c>
      <c r="C587" s="0" t="s">
        <v>195</v>
      </c>
      <c r="D587" s="0" t="n">
        <v>27</v>
      </c>
      <c r="E587" s="0" t="s">
        <v>36</v>
      </c>
      <c r="F587" s="0" t="s">
        <v>202</v>
      </c>
      <c r="G587" s="0" t="s">
        <v>2458</v>
      </c>
      <c r="H587" s="0" t="s">
        <v>1229</v>
      </c>
      <c r="I587" s="0" t="s">
        <v>2459</v>
      </c>
      <c r="J587" s="4" t="n">
        <v>45664</v>
      </c>
      <c r="K587" s="0" t="s">
        <v>453</v>
      </c>
      <c r="L587" s="0" t="s">
        <v>42</v>
      </c>
      <c r="M587" s="5" t="n">
        <v>2199</v>
      </c>
      <c r="N587" s="0" t="n">
        <v>2</v>
      </c>
      <c r="O587" s="0" t="s">
        <v>91</v>
      </c>
      <c r="P587" s="0" t="n">
        <v>7</v>
      </c>
      <c r="Q587" s="5" t="n">
        <v>120</v>
      </c>
      <c r="R587" s="4" t="n">
        <v>45671</v>
      </c>
      <c r="S587" s="0" t="s">
        <v>2460</v>
      </c>
      <c r="T587" s="0" t="n">
        <f aca="false">R587-J587</f>
        <v>7</v>
      </c>
      <c r="U587" s="5" t="n">
        <f aca="false">M587*N587</f>
        <v>4398</v>
      </c>
      <c r="V587" s="6" t="n">
        <f aca="false">IF(O587="FLAT5",5%,IF(O587="FLAT10",10%,IF(O587="FLAT15",15%,IF(O587="FLAT20",20%,0))))</f>
        <v>0.1</v>
      </c>
      <c r="W587" s="5" t="n">
        <f aca="false">U587*(1-V587)</f>
        <v>3958.2</v>
      </c>
      <c r="X587" s="5" t="n">
        <f aca="false">W587+IF(O587="DEL0",0,Q587)</f>
        <v>4078.2</v>
      </c>
      <c r="Y587" s="0" t="str">
        <f aca="false">B587&amp;" "&amp;C587</f>
        <v>Aditya Singh</v>
      </c>
      <c r="Z587" s="0" t="str">
        <f aca="false">IF(T587&lt;P587,"BeforeTime",IF(T587=P587,"Intime","Late"))</f>
        <v>Intime</v>
      </c>
      <c r="AA587" s="0" t="str">
        <f aca="false">TEXT(J587,"mmm")</f>
        <v>Jan</v>
      </c>
      <c r="AB587" s="0" t="e">
        <f aca="false">xlookup(L587,Products!A:A,Products!B:B,"")</f>
        <v>#NAME?</v>
      </c>
    </row>
    <row r="588" customFormat="false" ht="15" hidden="false" customHeight="false" outlineLevel="0" collapsed="false">
      <c r="A588" s="0" t="s">
        <v>222</v>
      </c>
      <c r="B588" s="0" t="s">
        <v>147</v>
      </c>
      <c r="C588" s="0" t="s">
        <v>368</v>
      </c>
      <c r="D588" s="0" t="n">
        <v>38</v>
      </c>
      <c r="E588" s="0" t="s">
        <v>48</v>
      </c>
      <c r="F588" s="0" t="s">
        <v>140</v>
      </c>
      <c r="G588" s="0" t="s">
        <v>2461</v>
      </c>
      <c r="H588" s="0" t="s">
        <v>1937</v>
      </c>
      <c r="I588" s="0" t="s">
        <v>2462</v>
      </c>
      <c r="J588" s="4" t="n">
        <v>45919</v>
      </c>
      <c r="K588" s="0" t="s">
        <v>474</v>
      </c>
      <c r="L588" s="0" t="s">
        <v>136</v>
      </c>
      <c r="M588" s="5" t="n">
        <v>1799</v>
      </c>
      <c r="N588" s="0" t="n">
        <v>2</v>
      </c>
      <c r="O588" s="0" t="s">
        <v>43</v>
      </c>
      <c r="P588" s="0" t="n">
        <v>3</v>
      </c>
      <c r="Q588" s="5" t="n">
        <v>40</v>
      </c>
      <c r="R588" s="4" t="n">
        <v>45922</v>
      </c>
      <c r="S588" s="0" t="s">
        <v>1849</v>
      </c>
      <c r="T588" s="0" t="n">
        <f aca="false">R588-J588</f>
        <v>3</v>
      </c>
      <c r="U588" s="5" t="n">
        <f aca="false">M588*N588</f>
        <v>3598</v>
      </c>
      <c r="V588" s="6" t="n">
        <f aca="false">IF(O588="FLAT5",5%,IF(O588="FLAT10",10%,IF(O588="FLAT15",15%,IF(O588="FLAT20",20%,0))))</f>
        <v>0.2</v>
      </c>
      <c r="W588" s="5" t="n">
        <f aca="false">U588*(1-V588)</f>
        <v>2878.4</v>
      </c>
      <c r="X588" s="5" t="n">
        <f aca="false">W588+IF(O588="DEL0",0,Q588)</f>
        <v>2918.4</v>
      </c>
      <c r="Y588" s="0" t="str">
        <f aca="false">B588&amp;" "&amp;C588</f>
        <v>Pooja Das</v>
      </c>
      <c r="Z588" s="0" t="str">
        <f aca="false">IF(T588&lt;P588,"BeforeTime",IF(T588=P588,"Intime","Late"))</f>
        <v>Intime</v>
      </c>
      <c r="AA588" s="0" t="str">
        <f aca="false">TEXT(J588,"mmm")</f>
        <v>Sep</v>
      </c>
      <c r="AB588" s="0" t="e">
        <f aca="false">xlookup(L588,Products!A:A,Products!B:B,"")</f>
        <v>#NAME?</v>
      </c>
    </row>
    <row r="589" customFormat="false" ht="15" hidden="false" customHeight="false" outlineLevel="0" collapsed="false">
      <c r="A589" s="0" t="s">
        <v>1150</v>
      </c>
      <c r="B589" s="0" t="s">
        <v>147</v>
      </c>
      <c r="C589" s="0" t="s">
        <v>261</v>
      </c>
      <c r="D589" s="0" t="n">
        <v>52</v>
      </c>
      <c r="E589" s="0" t="s">
        <v>36</v>
      </c>
      <c r="F589" s="0" t="s">
        <v>37</v>
      </c>
      <c r="G589" s="0" t="s">
        <v>2463</v>
      </c>
      <c r="H589" s="0" t="s">
        <v>133</v>
      </c>
      <c r="I589" s="0" t="s">
        <v>2464</v>
      </c>
      <c r="J589" s="4" t="n">
        <v>45725</v>
      </c>
      <c r="K589" s="0" t="s">
        <v>2205</v>
      </c>
      <c r="L589" s="0" t="s">
        <v>64</v>
      </c>
      <c r="M589" s="5" t="n">
        <v>2799</v>
      </c>
      <c r="N589" s="0" t="n">
        <v>2</v>
      </c>
      <c r="O589" s="0" t="s">
        <v>91</v>
      </c>
      <c r="P589" s="0" t="n">
        <v>5</v>
      </c>
      <c r="Q589" s="5" t="n">
        <v>50</v>
      </c>
      <c r="R589" s="4" t="n">
        <v>45727</v>
      </c>
      <c r="S589" s="0" t="s">
        <v>233</v>
      </c>
      <c r="T589" s="0" t="n">
        <f aca="false">R589-J589</f>
        <v>2</v>
      </c>
      <c r="U589" s="5" t="n">
        <f aca="false">M589*N589</f>
        <v>5598</v>
      </c>
      <c r="V589" s="6" t="n">
        <f aca="false">IF(O589="FLAT5",5%,IF(O589="FLAT10",10%,IF(O589="FLAT15",15%,IF(O589="FLAT20",20%,0))))</f>
        <v>0.1</v>
      </c>
      <c r="W589" s="5" t="n">
        <f aca="false">U589*(1-V589)</f>
        <v>5038.2</v>
      </c>
      <c r="X589" s="5" t="n">
        <f aca="false">W589+IF(O589="DEL0",0,Q589)</f>
        <v>5088.2</v>
      </c>
      <c r="Y589" s="0" t="str">
        <f aca="false">B589&amp;" "&amp;C589</f>
        <v>Pooja Kumar</v>
      </c>
      <c r="Z589" s="0" t="str">
        <f aca="false">IF(T589&lt;P589,"BeforeTime",IF(T589=P589,"Intime","Late"))</f>
        <v>BeforeTime</v>
      </c>
      <c r="AA589" s="0" t="str">
        <f aca="false">TEXT(J589,"mmm")</f>
        <v>Mar</v>
      </c>
      <c r="AB589" s="0" t="e">
        <f aca="false">xlookup(L589,Products!A:A,Products!B:B,"")</f>
        <v>#NAME?</v>
      </c>
    </row>
    <row r="590" customFormat="false" ht="15" hidden="false" customHeight="false" outlineLevel="0" collapsed="false">
      <c r="A590" s="0" t="s">
        <v>1842</v>
      </c>
      <c r="B590" s="0" t="s">
        <v>282</v>
      </c>
      <c r="C590" s="0" t="s">
        <v>368</v>
      </c>
      <c r="D590" s="0" t="n">
        <v>34</v>
      </c>
      <c r="E590" s="0" t="s">
        <v>36</v>
      </c>
      <c r="F590" s="0" t="s">
        <v>59</v>
      </c>
      <c r="G590" s="0" t="s">
        <v>2465</v>
      </c>
      <c r="H590" s="0" t="s">
        <v>2466</v>
      </c>
      <c r="I590" s="0" t="s">
        <v>2467</v>
      </c>
      <c r="J590" s="4" t="n">
        <v>45876</v>
      </c>
      <c r="K590" s="0" t="s">
        <v>241</v>
      </c>
      <c r="L590" s="0" t="s">
        <v>136</v>
      </c>
      <c r="M590" s="5" t="n">
        <v>1799</v>
      </c>
      <c r="N590" s="0" t="n">
        <v>4</v>
      </c>
      <c r="O590" s="0" t="s">
        <v>83</v>
      </c>
      <c r="P590" s="0" t="n">
        <v>7</v>
      </c>
      <c r="Q590" s="5" t="n">
        <v>60</v>
      </c>
      <c r="R590" s="4" t="n">
        <v>45877</v>
      </c>
      <c r="S590" s="0" t="s">
        <v>2468</v>
      </c>
      <c r="T590" s="0" t="n">
        <f aca="false">R590-J590</f>
        <v>1</v>
      </c>
      <c r="U590" s="5" t="n">
        <f aca="false">M590*N590</f>
        <v>7196</v>
      </c>
      <c r="V590" s="6" t="n">
        <f aca="false">IF(O590="FLAT5",5%,IF(O590="FLAT10",10%,IF(O590="FLAT15",15%,IF(O590="FLAT20",20%,0))))</f>
        <v>0.05</v>
      </c>
      <c r="W590" s="5" t="n">
        <f aca="false">U590*(1-V590)</f>
        <v>6836.2</v>
      </c>
      <c r="X590" s="5" t="n">
        <f aca="false">W590+IF(O590="DEL0",0,Q590)</f>
        <v>6896.2</v>
      </c>
      <c r="Y590" s="0" t="str">
        <f aca="false">B590&amp;" "&amp;C590</f>
        <v>Nisha Das</v>
      </c>
      <c r="Z590" s="0" t="str">
        <f aca="false">IF(T590&lt;P590,"BeforeTime",IF(T590=P590,"Intime","Late"))</f>
        <v>BeforeTime</v>
      </c>
      <c r="AA590" s="0" t="str">
        <f aca="false">TEXT(J590,"mmm")</f>
        <v>Aug</v>
      </c>
      <c r="AB590" s="0" t="e">
        <f aca="false">xlookup(L590,Products!A:A,Products!B:B,"")</f>
        <v>#NAME?</v>
      </c>
    </row>
    <row r="591" customFormat="false" ht="15" hidden="false" customHeight="false" outlineLevel="0" collapsed="false">
      <c r="A591" s="0" t="s">
        <v>943</v>
      </c>
      <c r="B591" s="0" t="s">
        <v>174</v>
      </c>
      <c r="C591" s="0" t="s">
        <v>113</v>
      </c>
      <c r="D591" s="0" t="n">
        <v>22</v>
      </c>
      <c r="E591" s="0" t="s">
        <v>36</v>
      </c>
      <c r="F591" s="0" t="s">
        <v>202</v>
      </c>
      <c r="G591" s="0" t="s">
        <v>2469</v>
      </c>
      <c r="H591" s="0" t="s">
        <v>446</v>
      </c>
      <c r="I591" s="0" t="s">
        <v>2470</v>
      </c>
      <c r="J591" s="4" t="n">
        <v>45899</v>
      </c>
      <c r="K591" s="0" t="s">
        <v>1721</v>
      </c>
      <c r="L591" s="0" t="s">
        <v>119</v>
      </c>
      <c r="M591" s="5" t="n">
        <v>899</v>
      </c>
      <c r="N591" s="0" t="n">
        <v>3</v>
      </c>
      <c r="O591" s="0" t="s">
        <v>91</v>
      </c>
      <c r="P591" s="0" t="n">
        <v>4</v>
      </c>
      <c r="Q591" s="5" t="n">
        <v>75</v>
      </c>
      <c r="R591" s="4" t="n">
        <v>45904</v>
      </c>
      <c r="S591" s="0" t="s">
        <v>951</v>
      </c>
      <c r="T591" s="0" t="n">
        <f aca="false">R591-J591</f>
        <v>5</v>
      </c>
      <c r="U591" s="5" t="n">
        <f aca="false">M591*N591</f>
        <v>2697</v>
      </c>
      <c r="V591" s="6" t="n">
        <f aca="false">IF(O591="FLAT5",5%,IF(O591="FLAT10",10%,IF(O591="FLAT15",15%,IF(O591="FLAT20",20%,0))))</f>
        <v>0.1</v>
      </c>
      <c r="W591" s="5" t="n">
        <f aca="false">U591*(1-V591)</f>
        <v>2427.3</v>
      </c>
      <c r="X591" s="5" t="n">
        <f aca="false">W591+IF(O591="DEL0",0,Q591)</f>
        <v>2502.3</v>
      </c>
      <c r="Y591" s="0" t="str">
        <f aca="false">B591&amp;" "&amp;C591</f>
        <v>Ananya Rao</v>
      </c>
      <c r="Z591" s="0" t="str">
        <f aca="false">IF(T591&lt;P591,"BeforeTime",IF(T591=P591,"Intime","Late"))</f>
        <v>Late</v>
      </c>
      <c r="AA591" s="0" t="str">
        <f aca="false">TEXT(J591,"mmm")</f>
        <v>Aug</v>
      </c>
      <c r="AB591" s="0" t="e">
        <f aca="false">xlookup(L591,Products!A:A,Products!B:B,"")</f>
        <v>#NAME?</v>
      </c>
    </row>
    <row r="592" customFormat="false" ht="15" hidden="false" customHeight="false" outlineLevel="0" collapsed="false">
      <c r="A592" s="0" t="s">
        <v>611</v>
      </c>
      <c r="B592" s="0" t="s">
        <v>34</v>
      </c>
      <c r="C592" s="0" t="s">
        <v>35</v>
      </c>
      <c r="D592" s="0" t="n">
        <v>55</v>
      </c>
      <c r="E592" s="0" t="s">
        <v>36</v>
      </c>
      <c r="F592" s="0" t="s">
        <v>59</v>
      </c>
      <c r="G592" s="0" t="s">
        <v>2471</v>
      </c>
      <c r="H592" s="0" t="s">
        <v>318</v>
      </c>
      <c r="I592" s="0" t="s">
        <v>2472</v>
      </c>
      <c r="J592" s="4" t="n">
        <v>45959</v>
      </c>
      <c r="K592" s="0" t="s">
        <v>1112</v>
      </c>
      <c r="L592" s="0" t="s">
        <v>391</v>
      </c>
      <c r="M592" s="5" t="n">
        <v>3499</v>
      </c>
      <c r="N592" s="0" t="n">
        <v>3</v>
      </c>
      <c r="O592" s="0" t="s">
        <v>54</v>
      </c>
      <c r="P592" s="0" t="n">
        <v>6</v>
      </c>
      <c r="Q592" s="5" t="n">
        <v>0</v>
      </c>
      <c r="R592" s="4" t="n">
        <v>45965</v>
      </c>
      <c r="S592" s="0" t="s">
        <v>403</v>
      </c>
      <c r="T592" s="0" t="n">
        <f aca="false">R592-J592</f>
        <v>6</v>
      </c>
      <c r="U592" s="5" t="n">
        <f aca="false">M592*N592</f>
        <v>10497</v>
      </c>
      <c r="V592" s="6" t="n">
        <f aca="false">IF(O592="FLAT5",5%,IF(O592="FLAT10",10%,IF(O592="FLAT15",15%,IF(O592="FLAT20",20%,0))))</f>
        <v>0</v>
      </c>
      <c r="W592" s="5" t="n">
        <f aca="false">U592*(1-V592)</f>
        <v>10497</v>
      </c>
      <c r="X592" s="5" t="n">
        <f aca="false">W592+IF(O592="DEL0",0,Q592)</f>
        <v>10497</v>
      </c>
      <c r="Y592" s="0" t="str">
        <f aca="false">B592&amp;" "&amp;C592</f>
        <v>Diya Sharma</v>
      </c>
      <c r="Z592" s="0" t="str">
        <f aca="false">IF(T592&lt;P592,"BeforeTime",IF(T592=P592,"Intime","Late"))</f>
        <v>Intime</v>
      </c>
      <c r="AA592" s="0" t="str">
        <f aca="false">TEXT(J592,"mmm")</f>
        <v>Oct</v>
      </c>
      <c r="AB592" s="0" t="e">
        <f aca="false">xlookup(L592,Products!A:A,Products!B:B,"")</f>
        <v>#NAME?</v>
      </c>
    </row>
    <row r="593" customFormat="false" ht="15" hidden="false" customHeight="false" outlineLevel="0" collapsed="false">
      <c r="A593" s="0" t="s">
        <v>173</v>
      </c>
      <c r="B593" s="0" t="s">
        <v>34</v>
      </c>
      <c r="C593" s="0" t="s">
        <v>195</v>
      </c>
      <c r="D593" s="0" t="n">
        <v>58</v>
      </c>
      <c r="E593" s="0" t="s">
        <v>36</v>
      </c>
      <c r="F593" s="0" t="s">
        <v>202</v>
      </c>
      <c r="G593" s="0" t="s">
        <v>2473</v>
      </c>
      <c r="H593" s="0" t="s">
        <v>2474</v>
      </c>
      <c r="I593" s="0" t="s">
        <v>2475</v>
      </c>
      <c r="J593" s="4" t="n">
        <v>45886</v>
      </c>
      <c r="K593" s="0" t="s">
        <v>2476</v>
      </c>
      <c r="L593" s="0" t="s">
        <v>64</v>
      </c>
      <c r="M593" s="5" t="n">
        <v>2799</v>
      </c>
      <c r="N593" s="0" t="n">
        <v>2</v>
      </c>
      <c r="O593" s="0" t="s">
        <v>91</v>
      </c>
      <c r="P593" s="0" t="n">
        <v>2</v>
      </c>
      <c r="Q593" s="5" t="n">
        <v>90</v>
      </c>
      <c r="R593" s="4" t="n">
        <v>45887</v>
      </c>
      <c r="S593" s="0" t="s">
        <v>470</v>
      </c>
      <c r="T593" s="0" t="n">
        <f aca="false">R593-J593</f>
        <v>1</v>
      </c>
      <c r="U593" s="5" t="n">
        <f aca="false">M593*N593</f>
        <v>5598</v>
      </c>
      <c r="V593" s="6" t="n">
        <f aca="false">IF(O593="FLAT5",5%,IF(O593="FLAT10",10%,IF(O593="FLAT15",15%,IF(O593="FLAT20",20%,0))))</f>
        <v>0.1</v>
      </c>
      <c r="W593" s="5" t="n">
        <f aca="false">U593*(1-V593)</f>
        <v>5038.2</v>
      </c>
      <c r="X593" s="5" t="n">
        <f aca="false">W593+IF(O593="DEL0",0,Q593)</f>
        <v>5128.2</v>
      </c>
      <c r="Y593" s="0" t="str">
        <f aca="false">B593&amp;" "&amp;C593</f>
        <v>Diya Singh</v>
      </c>
      <c r="Z593" s="0" t="str">
        <f aca="false">IF(T593&lt;P593,"BeforeTime",IF(T593=P593,"Intime","Late"))</f>
        <v>BeforeTime</v>
      </c>
      <c r="AA593" s="0" t="str">
        <f aca="false">TEXT(J593,"mmm")</f>
        <v>Aug</v>
      </c>
      <c r="AB593" s="0" t="e">
        <f aca="false">xlookup(L593,Products!A:A,Products!B:B,"")</f>
        <v>#NAME?</v>
      </c>
    </row>
    <row r="594" customFormat="false" ht="15" hidden="false" customHeight="false" outlineLevel="0" collapsed="false">
      <c r="A594" s="0" t="s">
        <v>2301</v>
      </c>
      <c r="B594" s="0" t="s">
        <v>209</v>
      </c>
      <c r="C594" s="0" t="s">
        <v>210</v>
      </c>
      <c r="D594" s="0" t="n">
        <v>28</v>
      </c>
      <c r="E594" s="0" t="s">
        <v>36</v>
      </c>
      <c r="F594" s="0" t="s">
        <v>160</v>
      </c>
      <c r="G594" s="0" t="s">
        <v>2477</v>
      </c>
      <c r="H594" s="0" t="s">
        <v>2478</v>
      </c>
      <c r="I594" s="0" t="s">
        <v>2479</v>
      </c>
      <c r="J594" s="4" t="n">
        <v>45944</v>
      </c>
      <c r="K594" s="0" t="s">
        <v>1679</v>
      </c>
      <c r="L594" s="0" t="s">
        <v>240</v>
      </c>
      <c r="M594" s="5" t="n">
        <v>4999</v>
      </c>
      <c r="N594" s="0" t="n">
        <v>3</v>
      </c>
      <c r="O594" s="0" t="s">
        <v>259</v>
      </c>
      <c r="P594" s="0" t="n">
        <v>4</v>
      </c>
      <c r="Q594" s="5" t="n">
        <v>120</v>
      </c>
      <c r="R594" s="4" t="n">
        <v>45952</v>
      </c>
      <c r="S594" s="0" t="s">
        <v>541</v>
      </c>
      <c r="T594" s="0" t="n">
        <f aca="false">R594-J594</f>
        <v>8</v>
      </c>
      <c r="U594" s="5" t="n">
        <f aca="false">M594*N594</f>
        <v>14997</v>
      </c>
      <c r="V594" s="6" t="n">
        <f aca="false">IF(O594="FLAT5",5%,IF(O594="FLAT10",10%,IF(O594="FLAT15",15%,IF(O594="FLAT20",20%,0))))</f>
        <v>0</v>
      </c>
      <c r="W594" s="5" t="n">
        <f aca="false">U594*(1-V594)</f>
        <v>14997</v>
      </c>
      <c r="X594" s="5" t="n">
        <f aca="false">W594+IF(O594="DEL0",0,Q594)</f>
        <v>15117</v>
      </c>
      <c r="Y594" s="0" t="str">
        <f aca="false">B594&amp;" "&amp;C594</f>
        <v>Ishaan Reddy</v>
      </c>
      <c r="Z594" s="0" t="str">
        <f aca="false">IF(T594&lt;P594,"BeforeTime",IF(T594=P594,"Intime","Late"))</f>
        <v>Late</v>
      </c>
      <c r="AA594" s="0" t="str">
        <f aca="false">TEXT(J594,"mmm")</f>
        <v>Oct</v>
      </c>
      <c r="AB594" s="0" t="e">
        <f aca="false">xlookup(L594,Products!A:A,Products!B:B,"")</f>
        <v>#NAME?</v>
      </c>
    </row>
    <row r="595" customFormat="false" ht="15" hidden="false" customHeight="false" outlineLevel="0" collapsed="false">
      <c r="A595" s="0" t="s">
        <v>1022</v>
      </c>
      <c r="B595" s="0" t="s">
        <v>269</v>
      </c>
      <c r="C595" s="0" t="s">
        <v>35</v>
      </c>
      <c r="D595" s="0" t="n">
        <v>30</v>
      </c>
      <c r="E595" s="0" t="s">
        <v>48</v>
      </c>
      <c r="F595" s="0" t="s">
        <v>262</v>
      </c>
      <c r="G595" s="0" t="s">
        <v>2480</v>
      </c>
      <c r="H595" s="0" t="s">
        <v>2089</v>
      </c>
      <c r="I595" s="0" t="s">
        <v>2481</v>
      </c>
      <c r="J595" s="4" t="n">
        <v>45689</v>
      </c>
      <c r="K595" s="0" t="s">
        <v>2482</v>
      </c>
      <c r="L595" s="0" t="s">
        <v>72</v>
      </c>
      <c r="M595" s="5" t="n">
        <v>1299</v>
      </c>
      <c r="N595" s="0" t="n">
        <v>1</v>
      </c>
      <c r="O595" s="0" t="s">
        <v>259</v>
      </c>
      <c r="P595" s="0" t="n">
        <v>7</v>
      </c>
      <c r="Q595" s="5" t="n">
        <v>75</v>
      </c>
      <c r="R595" s="4" t="n">
        <v>45696</v>
      </c>
      <c r="S595" s="0" t="s">
        <v>536</v>
      </c>
      <c r="T595" s="0" t="n">
        <f aca="false">R595-J595</f>
        <v>7</v>
      </c>
      <c r="U595" s="5" t="n">
        <f aca="false">M595*N595</f>
        <v>1299</v>
      </c>
      <c r="V595" s="6" t="n">
        <f aca="false">IF(O595="FLAT5",5%,IF(O595="FLAT10",10%,IF(O595="FLAT15",15%,IF(O595="FLAT20",20%,0))))</f>
        <v>0</v>
      </c>
      <c r="W595" s="5" t="n">
        <f aca="false">U595*(1-V595)</f>
        <v>1299</v>
      </c>
      <c r="X595" s="5" t="n">
        <f aca="false">W595+IF(O595="DEL0",0,Q595)</f>
        <v>1374</v>
      </c>
      <c r="Y595" s="0" t="str">
        <f aca="false">B595&amp;" "&amp;C595</f>
        <v>Varun Sharma</v>
      </c>
      <c r="Z595" s="0" t="str">
        <f aca="false">IF(T595&lt;P595,"BeforeTime",IF(T595=P595,"Intime","Late"))</f>
        <v>Intime</v>
      </c>
      <c r="AA595" s="0" t="str">
        <f aca="false">TEXT(J595,"mmm")</f>
        <v>Feb</v>
      </c>
      <c r="AB595" s="0" t="e">
        <f aca="false">xlookup(L595,Products!A:A,Products!B:B,"")</f>
        <v>#NAME?</v>
      </c>
    </row>
    <row r="596" customFormat="false" ht="15" hidden="false" customHeight="false" outlineLevel="0" collapsed="false">
      <c r="A596" s="0" t="s">
        <v>1892</v>
      </c>
      <c r="B596" s="0" t="s">
        <v>394</v>
      </c>
      <c r="C596" s="0" t="s">
        <v>58</v>
      </c>
      <c r="D596" s="0" t="n">
        <v>55</v>
      </c>
      <c r="E596" s="0" t="s">
        <v>48</v>
      </c>
      <c r="F596" s="0" t="s">
        <v>160</v>
      </c>
      <c r="G596" s="0" t="s">
        <v>2483</v>
      </c>
      <c r="H596" s="0" t="s">
        <v>2484</v>
      </c>
      <c r="I596" s="0" t="s">
        <v>2485</v>
      </c>
      <c r="J596" s="4" t="n">
        <v>45659</v>
      </c>
      <c r="K596" s="0" t="s">
        <v>1393</v>
      </c>
      <c r="L596" s="0" t="s">
        <v>64</v>
      </c>
      <c r="M596" s="5" t="n">
        <v>2799</v>
      </c>
      <c r="N596" s="0" t="n">
        <v>3</v>
      </c>
      <c r="O596" s="0" t="s">
        <v>91</v>
      </c>
      <c r="P596" s="0" t="n">
        <v>3</v>
      </c>
      <c r="Q596" s="5" t="n">
        <v>90</v>
      </c>
      <c r="R596" s="4" t="n">
        <v>45662</v>
      </c>
      <c r="S596" s="0" t="s">
        <v>165</v>
      </c>
      <c r="T596" s="0" t="n">
        <f aca="false">R596-J596</f>
        <v>3</v>
      </c>
      <c r="U596" s="5" t="n">
        <f aca="false">M596*N596</f>
        <v>8397</v>
      </c>
      <c r="V596" s="6" t="n">
        <f aca="false">IF(O596="FLAT5",5%,IF(O596="FLAT10",10%,IF(O596="FLAT15",15%,IF(O596="FLAT20",20%,0))))</f>
        <v>0.1</v>
      </c>
      <c r="W596" s="5" t="n">
        <f aca="false">U596*(1-V596)</f>
        <v>7557.3</v>
      </c>
      <c r="X596" s="5" t="n">
        <f aca="false">W596+IF(O596="DEL0",0,Q596)</f>
        <v>7647.3</v>
      </c>
      <c r="Y596" s="0" t="str">
        <f aca="false">B596&amp;" "&amp;C596</f>
        <v>Kiran Iyer</v>
      </c>
      <c r="Z596" s="0" t="str">
        <f aca="false">IF(T596&lt;P596,"BeforeTime",IF(T596=P596,"Intime","Late"))</f>
        <v>Intime</v>
      </c>
      <c r="AA596" s="0" t="str">
        <f aca="false">TEXT(J596,"mmm")</f>
        <v>Jan</v>
      </c>
      <c r="AB596" s="0" t="e">
        <f aca="false">xlookup(L596,Products!A:A,Products!B:B,"")</f>
        <v>#NAME?</v>
      </c>
    </row>
    <row r="597" customFormat="false" ht="15" hidden="false" customHeight="false" outlineLevel="0" collapsed="false">
      <c r="A597" s="0" t="s">
        <v>576</v>
      </c>
      <c r="B597" s="0" t="s">
        <v>269</v>
      </c>
      <c r="C597" s="0" t="s">
        <v>181</v>
      </c>
      <c r="D597" s="0" t="n">
        <v>39</v>
      </c>
      <c r="E597" s="0" t="s">
        <v>36</v>
      </c>
      <c r="F597" s="0" t="s">
        <v>114</v>
      </c>
      <c r="G597" s="0" t="s">
        <v>2486</v>
      </c>
      <c r="H597" s="0" t="s">
        <v>2327</v>
      </c>
      <c r="I597" s="0" t="s">
        <v>2487</v>
      </c>
      <c r="J597" s="4" t="n">
        <v>45745</v>
      </c>
      <c r="K597" s="0" t="s">
        <v>2011</v>
      </c>
      <c r="L597" s="0" t="s">
        <v>82</v>
      </c>
      <c r="M597" s="5" t="n">
        <v>1199</v>
      </c>
      <c r="N597" s="0" t="n">
        <v>3</v>
      </c>
      <c r="O597" s="0" t="s">
        <v>101</v>
      </c>
      <c r="P597" s="0" t="n">
        <v>3</v>
      </c>
      <c r="Q597" s="5" t="n">
        <v>60</v>
      </c>
      <c r="R597" s="4" t="n">
        <v>45746</v>
      </c>
      <c r="S597" s="0" t="s">
        <v>610</v>
      </c>
      <c r="T597" s="0" t="n">
        <f aca="false">R597-J597</f>
        <v>1</v>
      </c>
      <c r="U597" s="5" t="n">
        <f aca="false">M597*N597</f>
        <v>3597</v>
      </c>
      <c r="V597" s="6" t="n">
        <f aca="false">IF(O597="FLAT5",5%,IF(O597="FLAT10",10%,IF(O597="FLAT15",15%,IF(O597="FLAT20",20%,0))))</f>
        <v>0.15</v>
      </c>
      <c r="W597" s="5" t="n">
        <f aca="false">U597*(1-V597)</f>
        <v>3057.45</v>
      </c>
      <c r="X597" s="5" t="n">
        <f aca="false">W597+IF(O597="DEL0",0,Q597)</f>
        <v>3117.45</v>
      </c>
      <c r="Y597" s="0" t="str">
        <f aca="false">B597&amp;" "&amp;C597</f>
        <v>Varun Gupta</v>
      </c>
      <c r="Z597" s="0" t="str">
        <f aca="false">IF(T597&lt;P597,"BeforeTime",IF(T597=P597,"Intime","Late"))</f>
        <v>BeforeTime</v>
      </c>
      <c r="AA597" s="0" t="str">
        <f aca="false">TEXT(J597,"mmm")</f>
        <v>Mar</v>
      </c>
      <c r="AB597" s="0" t="e">
        <f aca="false">xlookup(L597,Products!A:A,Products!B:B,"")</f>
        <v>#NAME?</v>
      </c>
    </row>
    <row r="598" customFormat="false" ht="15" hidden="false" customHeight="false" outlineLevel="0" collapsed="false">
      <c r="A598" s="0" t="s">
        <v>85</v>
      </c>
      <c r="B598" s="0" t="s">
        <v>174</v>
      </c>
      <c r="C598" s="0" t="s">
        <v>123</v>
      </c>
      <c r="D598" s="0" t="n">
        <v>33</v>
      </c>
      <c r="E598" s="0" t="s">
        <v>36</v>
      </c>
      <c r="F598" s="0" t="s">
        <v>202</v>
      </c>
      <c r="G598" s="0" t="s">
        <v>2488</v>
      </c>
      <c r="H598" s="0" t="s">
        <v>424</v>
      </c>
      <c r="I598" s="0" t="s">
        <v>2489</v>
      </c>
      <c r="J598" s="4" t="n">
        <v>45846</v>
      </c>
      <c r="K598" s="0" t="s">
        <v>2139</v>
      </c>
      <c r="L598" s="0" t="s">
        <v>119</v>
      </c>
      <c r="M598" s="5" t="n">
        <v>899</v>
      </c>
      <c r="N598" s="0" t="n">
        <v>3</v>
      </c>
      <c r="O598" s="0" t="s">
        <v>43</v>
      </c>
      <c r="P598" s="0" t="n">
        <v>4</v>
      </c>
      <c r="Q598" s="5" t="n">
        <v>90</v>
      </c>
      <c r="R598" s="4" t="n">
        <v>45849</v>
      </c>
      <c r="S598" s="0" t="s">
        <v>1492</v>
      </c>
      <c r="T598" s="0" t="n">
        <f aca="false">R598-J598</f>
        <v>3</v>
      </c>
      <c r="U598" s="5" t="n">
        <f aca="false">M598*N598</f>
        <v>2697</v>
      </c>
      <c r="V598" s="6" t="n">
        <f aca="false">IF(O598="FLAT5",5%,IF(O598="FLAT10",10%,IF(O598="FLAT15",15%,IF(O598="FLAT20",20%,0))))</f>
        <v>0.2</v>
      </c>
      <c r="W598" s="5" t="n">
        <f aca="false">U598*(1-V598)</f>
        <v>2157.6</v>
      </c>
      <c r="X598" s="5" t="n">
        <f aca="false">W598+IF(O598="DEL0",0,Q598)</f>
        <v>2247.6</v>
      </c>
      <c r="Y598" s="0" t="str">
        <f aca="false">B598&amp;" "&amp;C598</f>
        <v>Ananya Nair</v>
      </c>
      <c r="Z598" s="0" t="str">
        <f aca="false">IF(T598&lt;P598,"BeforeTime",IF(T598=P598,"Intime","Late"))</f>
        <v>BeforeTime</v>
      </c>
      <c r="AA598" s="0" t="str">
        <f aca="false">TEXT(J598,"mmm")</f>
        <v>Jul</v>
      </c>
      <c r="AB598" s="0" t="e">
        <f aca="false">xlookup(L598,Products!A:A,Products!B:B,"")</f>
        <v>#NAME?</v>
      </c>
    </row>
    <row r="599" customFormat="false" ht="15" hidden="false" customHeight="false" outlineLevel="0" collapsed="false">
      <c r="A599" s="0" t="s">
        <v>856</v>
      </c>
      <c r="B599" s="0" t="s">
        <v>86</v>
      </c>
      <c r="C599" s="0" t="s">
        <v>210</v>
      </c>
      <c r="D599" s="0" t="n">
        <v>20</v>
      </c>
      <c r="E599" s="0" t="s">
        <v>48</v>
      </c>
      <c r="F599" s="0" t="s">
        <v>37</v>
      </c>
      <c r="G599" s="0" t="s">
        <v>2490</v>
      </c>
      <c r="H599" s="0" t="s">
        <v>2491</v>
      </c>
      <c r="I599" s="0" t="s">
        <v>2492</v>
      </c>
      <c r="J599" s="4" t="n">
        <v>45666</v>
      </c>
      <c r="K599" s="0" t="s">
        <v>516</v>
      </c>
      <c r="L599" s="0" t="s">
        <v>82</v>
      </c>
      <c r="M599" s="5" t="n">
        <v>1199</v>
      </c>
      <c r="N599" s="0" t="n">
        <v>3</v>
      </c>
      <c r="O599" s="0" t="s">
        <v>83</v>
      </c>
      <c r="P599" s="0" t="n">
        <v>6</v>
      </c>
      <c r="Q599" s="5" t="n">
        <v>90</v>
      </c>
      <c r="R599" s="4" t="n">
        <v>45672</v>
      </c>
      <c r="S599" s="0" t="s">
        <v>2493</v>
      </c>
      <c r="T599" s="0" t="n">
        <f aca="false">R599-J599</f>
        <v>6</v>
      </c>
      <c r="U599" s="5" t="n">
        <f aca="false">M599*N599</f>
        <v>3597</v>
      </c>
      <c r="V599" s="6" t="n">
        <f aca="false">IF(O599="FLAT5",5%,IF(O599="FLAT10",10%,IF(O599="FLAT15",15%,IF(O599="FLAT20",20%,0))))</f>
        <v>0.05</v>
      </c>
      <c r="W599" s="5" t="n">
        <f aca="false">U599*(1-V599)</f>
        <v>3417.15</v>
      </c>
      <c r="X599" s="5" t="n">
        <f aca="false">W599+IF(O599="DEL0",0,Q599)</f>
        <v>3507.15</v>
      </c>
      <c r="Y599" s="0" t="str">
        <f aca="false">B599&amp;" "&amp;C599</f>
        <v>Rahul Reddy</v>
      </c>
      <c r="Z599" s="0" t="str">
        <f aca="false">IF(T599&lt;P599,"BeforeTime",IF(T599=P599,"Intime","Late"))</f>
        <v>Intime</v>
      </c>
      <c r="AA599" s="0" t="str">
        <f aca="false">TEXT(J599,"mmm")</f>
        <v>Jan</v>
      </c>
      <c r="AB599" s="0" t="e">
        <f aca="false">xlookup(L599,Products!A:A,Products!B:B,"")</f>
        <v>#NAME?</v>
      </c>
    </row>
    <row r="600" customFormat="false" ht="15" hidden="false" customHeight="false" outlineLevel="0" collapsed="false">
      <c r="A600" s="0" t="s">
        <v>288</v>
      </c>
      <c r="B600" s="0" t="s">
        <v>104</v>
      </c>
      <c r="C600" s="0" t="s">
        <v>47</v>
      </c>
      <c r="D600" s="0" t="n">
        <v>48</v>
      </c>
      <c r="E600" s="0" t="s">
        <v>36</v>
      </c>
      <c r="F600" s="0" t="s">
        <v>59</v>
      </c>
      <c r="G600" s="0" t="s">
        <v>2494</v>
      </c>
      <c r="H600" s="0" t="s">
        <v>2495</v>
      </c>
      <c r="I600" s="0" t="s">
        <v>2496</v>
      </c>
      <c r="J600" s="4" t="n">
        <v>45860</v>
      </c>
      <c r="K600" s="0" t="s">
        <v>2497</v>
      </c>
      <c r="L600" s="0" t="s">
        <v>72</v>
      </c>
      <c r="M600" s="5" t="n">
        <v>1299</v>
      </c>
      <c r="N600" s="0" t="n">
        <v>2</v>
      </c>
      <c r="O600" s="0" t="s">
        <v>43</v>
      </c>
      <c r="P600" s="0" t="n">
        <v>3</v>
      </c>
      <c r="Q600" s="5" t="n">
        <v>120</v>
      </c>
      <c r="R600" s="4" t="n">
        <v>45863</v>
      </c>
      <c r="S600" s="0" t="s">
        <v>1773</v>
      </c>
      <c r="T600" s="0" t="n">
        <f aca="false">R600-J600</f>
        <v>3</v>
      </c>
      <c r="U600" s="5" t="n">
        <f aca="false">M600*N600</f>
        <v>2598</v>
      </c>
      <c r="V600" s="6" t="n">
        <f aca="false">IF(O600="FLAT5",5%,IF(O600="FLAT10",10%,IF(O600="FLAT15",15%,IF(O600="FLAT20",20%,0))))</f>
        <v>0.2</v>
      </c>
      <c r="W600" s="5" t="n">
        <f aca="false">U600*(1-V600)</f>
        <v>2078.4</v>
      </c>
      <c r="X600" s="5" t="n">
        <f aca="false">W600+IF(O600="DEL0",0,Q600)</f>
        <v>2198.4</v>
      </c>
      <c r="Y600" s="0" t="str">
        <f aca="false">B600&amp;" "&amp;C600</f>
        <v>Keerthi Verma</v>
      </c>
      <c r="Z600" s="0" t="str">
        <f aca="false">IF(T600&lt;P600,"BeforeTime",IF(T600=P600,"Intime","Late"))</f>
        <v>Intime</v>
      </c>
      <c r="AA600" s="0" t="str">
        <f aca="false">TEXT(J600,"mmm")</f>
        <v>Jul</v>
      </c>
      <c r="AB600" s="0" t="e">
        <f aca="false">xlookup(L600,Products!A:A,Products!B:B,"")</f>
        <v>#NAME?</v>
      </c>
    </row>
    <row r="601" customFormat="false" ht="15" hidden="false" customHeight="false" outlineLevel="0" collapsed="false">
      <c r="A601" s="0" t="s">
        <v>1920</v>
      </c>
      <c r="B601" s="0" t="s">
        <v>147</v>
      </c>
      <c r="C601" s="0" t="s">
        <v>113</v>
      </c>
      <c r="D601" s="0" t="n">
        <v>49</v>
      </c>
      <c r="E601" s="0" t="s">
        <v>36</v>
      </c>
      <c r="F601" s="0" t="s">
        <v>262</v>
      </c>
      <c r="G601" s="0" t="s">
        <v>2498</v>
      </c>
      <c r="H601" s="0" t="s">
        <v>1804</v>
      </c>
      <c r="I601" s="0" t="s">
        <v>2499</v>
      </c>
      <c r="J601" s="4" t="n">
        <v>45750</v>
      </c>
      <c r="K601" s="0" t="s">
        <v>1021</v>
      </c>
      <c r="L601" s="0" t="s">
        <v>100</v>
      </c>
      <c r="M601" s="5" t="n">
        <v>999</v>
      </c>
      <c r="N601" s="0" t="n">
        <v>4</v>
      </c>
      <c r="O601" s="0" t="s">
        <v>259</v>
      </c>
      <c r="P601" s="0" t="n">
        <v>7</v>
      </c>
      <c r="Q601" s="5" t="n">
        <v>60</v>
      </c>
      <c r="R601" s="4" t="n">
        <v>45757</v>
      </c>
      <c r="S601" s="0" t="s">
        <v>2500</v>
      </c>
      <c r="T601" s="0" t="n">
        <f aca="false">R601-J601</f>
        <v>7</v>
      </c>
      <c r="U601" s="5" t="n">
        <f aca="false">M601*N601</f>
        <v>3996</v>
      </c>
      <c r="V601" s="6" t="n">
        <f aca="false">IF(O601="FLAT5",5%,IF(O601="FLAT10",10%,IF(O601="FLAT15",15%,IF(O601="FLAT20",20%,0))))</f>
        <v>0</v>
      </c>
      <c r="W601" s="5" t="n">
        <f aca="false">U601*(1-V601)</f>
        <v>3996</v>
      </c>
      <c r="X601" s="5" t="n">
        <f aca="false">W601+IF(O601="DEL0",0,Q601)</f>
        <v>4056</v>
      </c>
      <c r="Y601" s="0" t="str">
        <f aca="false">B601&amp;" "&amp;C601</f>
        <v>Pooja Rao</v>
      </c>
      <c r="Z601" s="0" t="str">
        <f aca="false">IF(T601&lt;P601,"BeforeTime",IF(T601=P601,"Intime","Late"))</f>
        <v>Intime</v>
      </c>
      <c r="AA601" s="0" t="str">
        <f aca="false">TEXT(J601,"mmm")</f>
        <v>Apr</v>
      </c>
      <c r="AB601" s="0" t="e">
        <f aca="false">xlookup(L601,Products!A:A,Products!B:B,"")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7" t="s">
        <v>16</v>
      </c>
      <c r="B1" s="7" t="s">
        <v>32</v>
      </c>
      <c r="C1" s="7" t="s">
        <v>17</v>
      </c>
    </row>
    <row r="2" customFormat="false" ht="15" hidden="false" customHeight="false" outlineLevel="0" collapsed="false">
      <c r="A2" s="0" t="s">
        <v>110</v>
      </c>
      <c r="B2" s="0" t="s">
        <v>2501</v>
      </c>
      <c r="C2" s="5" t="n">
        <v>1499</v>
      </c>
    </row>
    <row r="3" customFormat="false" ht="15" hidden="false" customHeight="false" outlineLevel="0" collapsed="false">
      <c r="A3" s="0" t="s">
        <v>129</v>
      </c>
      <c r="B3" s="0" t="s">
        <v>2502</v>
      </c>
      <c r="C3" s="5" t="n">
        <v>2999</v>
      </c>
    </row>
    <row r="4" customFormat="false" ht="15" hidden="false" customHeight="false" outlineLevel="0" collapsed="false">
      <c r="A4" s="0" t="s">
        <v>42</v>
      </c>
      <c r="B4" s="0" t="s">
        <v>2503</v>
      </c>
      <c r="C4" s="5" t="n">
        <v>2199</v>
      </c>
    </row>
    <row r="5" customFormat="false" ht="15" hidden="false" customHeight="false" outlineLevel="0" collapsed="false">
      <c r="A5" s="0" t="s">
        <v>100</v>
      </c>
      <c r="B5" s="0" t="s">
        <v>2504</v>
      </c>
      <c r="C5" s="5" t="n">
        <v>999</v>
      </c>
    </row>
    <row r="6" customFormat="false" ht="15" hidden="false" customHeight="false" outlineLevel="0" collapsed="false">
      <c r="A6" s="0" t="s">
        <v>72</v>
      </c>
      <c r="B6" s="0" t="s">
        <v>2505</v>
      </c>
      <c r="C6" s="5" t="n">
        <v>1299</v>
      </c>
    </row>
    <row r="7" customFormat="false" ht="15" hidden="false" customHeight="false" outlineLevel="0" collapsed="false">
      <c r="A7" s="0" t="s">
        <v>391</v>
      </c>
      <c r="B7" s="0" t="s">
        <v>2506</v>
      </c>
      <c r="C7" s="5" t="n">
        <v>3499</v>
      </c>
    </row>
    <row r="8" customFormat="false" ht="15" hidden="false" customHeight="false" outlineLevel="0" collapsed="false">
      <c r="A8" s="0" t="s">
        <v>136</v>
      </c>
      <c r="B8" s="0" t="s">
        <v>2507</v>
      </c>
      <c r="C8" s="5" t="n">
        <v>1799</v>
      </c>
    </row>
    <row r="9" customFormat="false" ht="15" hidden="false" customHeight="false" outlineLevel="0" collapsed="false">
      <c r="A9" s="0" t="s">
        <v>53</v>
      </c>
      <c r="B9" s="0" t="s">
        <v>2508</v>
      </c>
      <c r="C9" s="5" t="n">
        <v>2499</v>
      </c>
    </row>
    <row r="10" customFormat="false" ht="15" hidden="false" customHeight="false" outlineLevel="0" collapsed="false">
      <c r="A10" s="0" t="s">
        <v>240</v>
      </c>
      <c r="B10" s="0" t="s">
        <v>2509</v>
      </c>
      <c r="C10" s="5" t="n">
        <v>4999</v>
      </c>
    </row>
    <row r="11" customFormat="false" ht="15" hidden="false" customHeight="false" outlineLevel="0" collapsed="false">
      <c r="A11" s="0" t="s">
        <v>64</v>
      </c>
      <c r="B11" s="0" t="s">
        <v>2510</v>
      </c>
      <c r="C11" s="5" t="n">
        <v>2799</v>
      </c>
    </row>
    <row r="12" customFormat="false" ht="15" hidden="false" customHeight="false" outlineLevel="0" collapsed="false">
      <c r="A12" s="0" t="s">
        <v>119</v>
      </c>
      <c r="B12" s="0" t="s">
        <v>2511</v>
      </c>
      <c r="C12" s="5" t="n">
        <v>899</v>
      </c>
    </row>
    <row r="13" customFormat="false" ht="15" hidden="false" customHeight="false" outlineLevel="0" collapsed="false">
      <c r="A13" s="0" t="s">
        <v>82</v>
      </c>
      <c r="B13" s="0" t="s">
        <v>2512</v>
      </c>
      <c r="C13" s="5" t="n">
        <v>1199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5"/>
  </cols>
  <sheetData>
    <row r="1" customFormat="false" ht="22.05" hidden="false" customHeight="false" outlineLevel="0" collapsed="false">
      <c r="A1" s="8" t="s">
        <v>2513</v>
      </c>
      <c r="B1" s="8"/>
      <c r="C1" s="8"/>
      <c r="D1" s="8"/>
    </row>
    <row r="4" customFormat="false" ht="15" hidden="false" customHeight="false" outlineLevel="0" collapsed="false">
      <c r="A4" s="9" t="s">
        <v>2514</v>
      </c>
      <c r="B4" s="10" t="n">
        <f aca="false">COUNTA(unique(Raw_Data!A2:A601))</f>
        <v>1</v>
      </c>
    </row>
    <row r="5" customFormat="false" ht="15" hidden="false" customHeight="false" outlineLevel="0" collapsed="false">
      <c r="A5" s="9" t="s">
        <v>2515</v>
      </c>
      <c r="B5" s="11" t="n">
        <f aca="false">MAX(Raw_Data!X2:X601)</f>
        <v>20056</v>
      </c>
    </row>
    <row r="6" customFormat="false" ht="15" hidden="false" customHeight="false" outlineLevel="0" collapsed="false">
      <c r="A6" s="9" t="s">
        <v>2516</v>
      </c>
      <c r="B6" s="12" t="n">
        <f aca="false">AVERAGE(Raw_Data!D2:D601)</f>
        <v>39.4633333333333</v>
      </c>
    </row>
    <row r="7" customFormat="false" ht="15" hidden="false" customHeight="false" outlineLevel="0" collapsed="false">
      <c r="A7" s="9" t="s">
        <v>2517</v>
      </c>
      <c r="B7" s="10" t="n">
        <f aca="false">COUNTA(Raw_Data!I2:I601)</f>
        <v>600</v>
      </c>
    </row>
    <row r="8" customFormat="false" ht="15" hidden="false" customHeight="false" outlineLevel="0" collapsed="false">
      <c r="A8" s="9" t="s">
        <v>2518</v>
      </c>
      <c r="B8" s="12" t="n">
        <f aca="false">AVERAGE(Raw_Data!T2:T601)</f>
        <v>4.715</v>
      </c>
    </row>
    <row r="9" customFormat="false" ht="15" hidden="false" customHeight="false" outlineLevel="0" collapsed="false">
      <c r="A9" s="9" t="s">
        <v>2519</v>
      </c>
      <c r="B9" s="10" t="n">
        <f aca="false">COUNTIF(Raw_Data!Q2:Q601,0)</f>
        <v>129</v>
      </c>
    </row>
    <row r="10" customFormat="false" ht="15" hidden="false" customHeight="false" outlineLevel="0" collapsed="false">
      <c r="A10" s="9" t="s">
        <v>2520</v>
      </c>
      <c r="B10" s="10" t="n">
        <f aca="false">COUNTA(Products!A2:A13)</f>
        <v>12</v>
      </c>
    </row>
    <row r="11" customFormat="false" ht="15" hidden="false" customHeight="false" outlineLevel="0" collapsed="false">
      <c r="A11" s="9" t="s">
        <v>2521</v>
      </c>
      <c r="B11" s="10" t="e">
        <f aca="false">INDEX(Raw_Data!AB2:AB601,MODE(MATCH(Raw_Data!L2:L601,Raw_Data!L2:L601,0)))</f>
        <v>#NAME?</v>
      </c>
    </row>
    <row r="12" customFormat="false" ht="15" hidden="false" customHeight="false" outlineLevel="0" collapsed="false">
      <c r="A12" s="9" t="s">
        <v>2522</v>
      </c>
      <c r="B12" s="11" t="e">
        <f aca="false">MAX(SUMIF(Raw_Data!AB2:AB601,Raw_Data!AB2:AB601,Raw_Data!X2:X601))</f>
        <v>#NAME?</v>
      </c>
    </row>
    <row r="13" customFormat="false" ht="15" hidden="false" customHeight="false" outlineLevel="0" collapsed="false">
      <c r="A13" s="9" t="s">
        <v>2523</v>
      </c>
      <c r="B13" s="11" t="n">
        <f aca="false">SUM(Raw_Data!U2:U601)</f>
        <v>3257382</v>
      </c>
    </row>
    <row r="14" customFormat="false" ht="15" hidden="false" customHeight="false" outlineLevel="0" collapsed="false">
      <c r="A14" s="9" t="s">
        <v>2524</v>
      </c>
      <c r="B14" s="11" t="n">
        <f aca="false">SUM(Raw_Data!U2:U601)-SUM(Raw_Data!W2:W601)</f>
        <v>242437.35</v>
      </c>
    </row>
    <row r="15" customFormat="false" ht="15" hidden="false" customHeight="false" outlineLevel="0" collapsed="false">
      <c r="A15" s="9" t="s">
        <v>2525</v>
      </c>
      <c r="B15" s="11" t="n">
        <f aca="false">SUM(Raw_Data!W2:W601)</f>
        <v>3014944.65</v>
      </c>
    </row>
    <row r="16" customFormat="false" ht="15" hidden="false" customHeight="false" outlineLevel="0" collapsed="false">
      <c r="A16" s="9" t="s">
        <v>2526</v>
      </c>
      <c r="B16" s="11" t="n">
        <f aca="false">SUM(Raw_Data!X2:X601)</f>
        <v>3049684.65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2527</v>
      </c>
      <c r="B1" s="0" t="s">
        <v>2528</v>
      </c>
    </row>
    <row r="2" customFormat="false" ht="15" hidden="false" customHeight="false" outlineLevel="0" collapsed="false">
      <c r="A2" s="0" t="s">
        <v>2529</v>
      </c>
      <c r="B2" s="5" t="n">
        <v>51415</v>
      </c>
    </row>
    <row r="3" customFormat="false" ht="15" hidden="false" customHeight="false" outlineLevel="0" collapsed="false">
      <c r="A3" s="0" t="s">
        <v>2530</v>
      </c>
      <c r="B3" s="5" t="n">
        <v>47791.3</v>
      </c>
    </row>
    <row r="4" customFormat="false" ht="15" hidden="false" customHeight="false" outlineLevel="0" collapsed="false">
      <c r="A4" s="0" t="s">
        <v>2531</v>
      </c>
      <c r="B4" s="5" t="n">
        <v>38280.15</v>
      </c>
    </row>
    <row r="5" customFormat="false" ht="15" hidden="false" customHeight="false" outlineLevel="0" collapsed="false">
      <c r="A5" s="0" t="s">
        <v>2532</v>
      </c>
      <c r="B5" s="5" t="n">
        <v>37976.95</v>
      </c>
    </row>
    <row r="6" customFormat="false" ht="15" hidden="false" customHeight="false" outlineLevel="0" collapsed="false">
      <c r="A6" s="0" t="s">
        <v>2533</v>
      </c>
      <c r="B6" s="5" t="n">
        <v>37206.5</v>
      </c>
    </row>
    <row r="7" customFormat="false" ht="15" hidden="false" customHeight="false" outlineLevel="0" collapsed="false">
      <c r="A7" s="0" t="s">
        <v>2534</v>
      </c>
      <c r="B7" s="5" t="n">
        <v>34902.65</v>
      </c>
    </row>
    <row r="8" customFormat="false" ht="15" hidden="false" customHeight="false" outlineLevel="0" collapsed="false">
      <c r="A8" s="0" t="s">
        <v>2535</v>
      </c>
      <c r="B8" s="5" t="n">
        <v>34529.3</v>
      </c>
    </row>
    <row r="9" customFormat="false" ht="15" hidden="false" customHeight="false" outlineLevel="0" collapsed="false">
      <c r="A9" s="0" t="s">
        <v>2536</v>
      </c>
      <c r="B9" s="5" t="n">
        <v>30334.15</v>
      </c>
    </row>
    <row r="10" customFormat="false" ht="15" hidden="false" customHeight="false" outlineLevel="0" collapsed="false">
      <c r="A10" s="0" t="s">
        <v>2537</v>
      </c>
      <c r="B10" s="5" t="n">
        <v>27472.2</v>
      </c>
    </row>
    <row r="11" customFormat="false" ht="15" hidden="false" customHeight="false" outlineLevel="0" collapsed="false">
      <c r="A11" s="0" t="s">
        <v>2538</v>
      </c>
      <c r="B11" s="5" t="n">
        <v>26394.75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0" t="s">
        <v>2539</v>
      </c>
      <c r="B1" s="0" t="s">
        <v>2540</v>
      </c>
      <c r="C1" s="0" t="s">
        <v>2541</v>
      </c>
    </row>
    <row r="2" customFormat="false" ht="15" hidden="false" customHeight="false" outlineLevel="0" collapsed="false">
      <c r="A2" s="0" t="s">
        <v>2511</v>
      </c>
      <c r="B2" s="0" t="n">
        <v>171</v>
      </c>
      <c r="C2" s="13" t="n">
        <f aca="false">B2/SUM($B$2:$B$8)</f>
        <v>0.177754677754678</v>
      </c>
    </row>
    <row r="3" customFormat="false" ht="15" hidden="false" customHeight="false" outlineLevel="0" collapsed="false">
      <c r="A3" s="0" t="s">
        <v>2512</v>
      </c>
      <c r="B3" s="0" t="n">
        <v>156</v>
      </c>
      <c r="C3" s="13" t="n">
        <f aca="false">B3/SUM($B$2:$B$8)</f>
        <v>0.162162162162162</v>
      </c>
    </row>
    <row r="4" customFormat="false" ht="15" hidden="false" customHeight="false" outlineLevel="0" collapsed="false">
      <c r="A4" s="0" t="s">
        <v>2507</v>
      </c>
      <c r="B4" s="0" t="n">
        <v>142</v>
      </c>
      <c r="C4" s="13" t="n">
        <f aca="false">B4/SUM($B$2:$B$8)</f>
        <v>0.147609147609148</v>
      </c>
    </row>
    <row r="5" customFormat="false" ht="15" hidden="false" customHeight="false" outlineLevel="0" collapsed="false">
      <c r="A5" s="0" t="s">
        <v>2501</v>
      </c>
      <c r="B5" s="0" t="n">
        <v>127</v>
      </c>
      <c r="C5" s="13" t="n">
        <f aca="false">B5/SUM($B$2:$B$8)</f>
        <v>0.132016632016632</v>
      </c>
    </row>
    <row r="6" customFormat="false" ht="15" hidden="false" customHeight="false" outlineLevel="0" collapsed="false">
      <c r="A6" s="0" t="s">
        <v>2509</v>
      </c>
      <c r="B6" s="0" t="n">
        <v>125</v>
      </c>
      <c r="C6" s="13" t="n">
        <f aca="false">B6/SUM($B$2:$B$8)</f>
        <v>0.12993762993763</v>
      </c>
    </row>
    <row r="7" customFormat="false" ht="15" hidden="false" customHeight="false" outlineLevel="0" collapsed="false">
      <c r="A7" s="0" t="s">
        <v>2505</v>
      </c>
      <c r="B7" s="0" t="n">
        <v>123</v>
      </c>
      <c r="C7" s="13" t="n">
        <f aca="false">B7/SUM($B$2:$B$8)</f>
        <v>0.127858627858628</v>
      </c>
    </row>
    <row r="8" customFormat="false" ht="15" hidden="false" customHeight="false" outlineLevel="0" collapsed="false">
      <c r="A8" s="0" t="s">
        <v>2506</v>
      </c>
      <c r="B8" s="0" t="n">
        <v>118</v>
      </c>
      <c r="C8" s="13" t="n">
        <f aca="false">B8/SUM($B$2:$B$8)</f>
        <v>0.122661122661123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0" t="s">
        <v>10</v>
      </c>
      <c r="B1" s="0" t="s">
        <v>2542</v>
      </c>
      <c r="C1" s="0" t="s">
        <v>2528</v>
      </c>
    </row>
    <row r="2" customFormat="false" ht="15" hidden="false" customHeight="false" outlineLevel="0" collapsed="false">
      <c r="A2" s="0" t="s">
        <v>202</v>
      </c>
      <c r="B2" s="0" t="n">
        <v>63</v>
      </c>
      <c r="C2" s="5" t="n">
        <v>336371.7</v>
      </c>
    </row>
    <row r="3" customFormat="false" ht="15" hidden="false" customHeight="false" outlineLevel="0" collapsed="false">
      <c r="A3" s="0" t="s">
        <v>140</v>
      </c>
      <c r="B3" s="0" t="n">
        <v>57</v>
      </c>
      <c r="C3" s="5" t="n">
        <v>232043.2</v>
      </c>
    </row>
    <row r="4" customFormat="false" ht="15" hidden="false" customHeight="false" outlineLevel="0" collapsed="false">
      <c r="A4" s="0" t="s">
        <v>262</v>
      </c>
      <c r="B4" s="0" t="n">
        <v>57</v>
      </c>
      <c r="C4" s="5" t="n">
        <v>291767.05</v>
      </c>
    </row>
    <row r="5" customFormat="false" ht="15" hidden="false" customHeight="false" outlineLevel="0" collapsed="false">
      <c r="A5" s="0" t="s">
        <v>37</v>
      </c>
      <c r="B5" s="0" t="n">
        <v>62</v>
      </c>
      <c r="C5" s="5" t="n">
        <v>332769.25</v>
      </c>
    </row>
    <row r="6" customFormat="false" ht="15" hidden="false" customHeight="false" outlineLevel="0" collapsed="false">
      <c r="A6" s="0" t="s">
        <v>114</v>
      </c>
      <c r="B6" s="0" t="n">
        <v>53</v>
      </c>
      <c r="C6" s="5" t="n">
        <v>261747.7</v>
      </c>
    </row>
    <row r="7" customFormat="false" ht="15" hidden="false" customHeight="false" outlineLevel="0" collapsed="false">
      <c r="A7" s="0" t="s">
        <v>59</v>
      </c>
      <c r="B7" s="0" t="n">
        <v>65</v>
      </c>
      <c r="C7" s="5" t="n">
        <v>382306.55</v>
      </c>
    </row>
    <row r="8" customFormat="false" ht="15" hidden="false" customHeight="false" outlineLevel="0" collapsed="false">
      <c r="A8" s="0" t="s">
        <v>160</v>
      </c>
      <c r="B8" s="0" t="n">
        <v>81</v>
      </c>
      <c r="C8" s="5" t="n">
        <v>414705.35</v>
      </c>
    </row>
    <row r="9" customFormat="false" ht="15" hidden="false" customHeight="false" outlineLevel="0" collapsed="false">
      <c r="A9" s="0" t="s">
        <v>248</v>
      </c>
      <c r="B9" s="0" t="n">
        <v>58</v>
      </c>
      <c r="C9" s="5" t="n">
        <v>312744.1</v>
      </c>
    </row>
    <row r="10" customFormat="false" ht="15" hidden="false" customHeight="false" outlineLevel="0" collapsed="false">
      <c r="A10" s="0" t="s">
        <v>77</v>
      </c>
      <c r="B10" s="0" t="n">
        <v>54</v>
      </c>
      <c r="C10" s="5" t="n">
        <v>278902.45</v>
      </c>
    </row>
    <row r="11" customFormat="false" ht="15" hidden="false" customHeight="false" outlineLevel="0" collapsed="false">
      <c r="A11" s="0" t="s">
        <v>124</v>
      </c>
      <c r="B11" s="0" t="n">
        <v>50</v>
      </c>
      <c r="C11" s="5" t="n">
        <v>206327.3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0" t="s">
        <v>2543</v>
      </c>
      <c r="B1" s="0" t="s">
        <v>2544</v>
      </c>
    </row>
    <row r="2" customFormat="false" ht="15" hidden="false" customHeight="false" outlineLevel="0" collapsed="false">
      <c r="A2" s="0" t="s">
        <v>83</v>
      </c>
      <c r="B2" s="0" t="n">
        <v>104</v>
      </c>
    </row>
    <row r="3" customFormat="false" ht="15" hidden="false" customHeight="false" outlineLevel="0" collapsed="false">
      <c r="A3" s="0" t="s">
        <v>91</v>
      </c>
      <c r="B3" s="0" t="n">
        <v>140</v>
      </c>
    </row>
    <row r="4" customFormat="false" ht="15" hidden="false" customHeight="false" outlineLevel="0" collapsed="false">
      <c r="A4" s="0" t="s">
        <v>101</v>
      </c>
      <c r="B4" s="0" t="n">
        <v>103</v>
      </c>
    </row>
    <row r="5" customFormat="false" ht="15" hidden="false" customHeight="false" outlineLevel="0" collapsed="false">
      <c r="A5" s="0" t="s">
        <v>43</v>
      </c>
      <c r="B5" s="0" t="n">
        <v>44</v>
      </c>
    </row>
    <row r="6" customFormat="false" ht="15" hidden="false" customHeight="false" outlineLevel="0" collapsed="false">
      <c r="A6" s="0" t="s">
        <v>54</v>
      </c>
      <c r="B6" s="0" t="n">
        <v>129</v>
      </c>
    </row>
    <row r="7" customFormat="false" ht="15" hidden="false" customHeight="false" outlineLevel="0" collapsed="false">
      <c r="A7" s="0" t="s">
        <v>259</v>
      </c>
      <c r="B7" s="0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0" t="s">
        <v>2545</v>
      </c>
      <c r="B1" s="0" t="s">
        <v>36</v>
      </c>
      <c r="C1" s="0" t="s">
        <v>48</v>
      </c>
    </row>
    <row r="2" customFormat="false" ht="15" hidden="false" customHeight="false" outlineLevel="0" collapsed="false">
      <c r="A2" s="0" t="s">
        <v>2546</v>
      </c>
      <c r="B2" s="5" t="n">
        <v>77459.5</v>
      </c>
      <c r="C2" s="5" t="n">
        <v>157537.95</v>
      </c>
    </row>
    <row r="3" customFormat="false" ht="15" hidden="false" customHeight="false" outlineLevel="0" collapsed="false">
      <c r="A3" s="0" t="s">
        <v>2547</v>
      </c>
      <c r="B3" s="5" t="n">
        <v>87350.25</v>
      </c>
      <c r="C3" s="5" t="n">
        <v>84223.2</v>
      </c>
    </row>
    <row r="4" customFormat="false" ht="15" hidden="false" customHeight="false" outlineLevel="0" collapsed="false">
      <c r="A4" s="0" t="s">
        <v>2548</v>
      </c>
      <c r="B4" s="5" t="n">
        <v>163900.6</v>
      </c>
      <c r="C4" s="5" t="n">
        <v>143532</v>
      </c>
    </row>
    <row r="5" customFormat="false" ht="15" hidden="false" customHeight="false" outlineLevel="0" collapsed="false">
      <c r="A5" s="0" t="s">
        <v>2549</v>
      </c>
      <c r="B5" s="5" t="n">
        <v>147244.5</v>
      </c>
      <c r="C5" s="5" t="n">
        <v>91057.95</v>
      </c>
    </row>
    <row r="6" customFormat="false" ht="15" hidden="false" customHeight="false" outlineLevel="0" collapsed="false">
      <c r="A6" s="0" t="s">
        <v>2550</v>
      </c>
      <c r="B6" s="5" t="n">
        <v>118338.3</v>
      </c>
      <c r="C6" s="5" t="n">
        <v>116585.5</v>
      </c>
    </row>
    <row r="7" customFormat="false" ht="15" hidden="false" customHeight="false" outlineLevel="0" collapsed="false">
      <c r="A7" s="0" t="s">
        <v>2551</v>
      </c>
      <c r="B7" s="5" t="n">
        <v>157606.95</v>
      </c>
      <c r="C7" s="5" t="n">
        <v>171955.6</v>
      </c>
    </row>
    <row r="8" customFormat="false" ht="15" hidden="false" customHeight="false" outlineLevel="0" collapsed="false">
      <c r="A8" s="0" t="s">
        <v>2552</v>
      </c>
      <c r="B8" s="5" t="n">
        <v>98021.8</v>
      </c>
      <c r="C8" s="5" t="n">
        <v>131203.3</v>
      </c>
    </row>
    <row r="9" customFormat="false" ht="15" hidden="false" customHeight="false" outlineLevel="0" collapsed="false">
      <c r="A9" s="0" t="s">
        <v>2553</v>
      </c>
      <c r="B9" s="5" t="n">
        <v>111125.2</v>
      </c>
      <c r="C9" s="5" t="n">
        <v>207032.6</v>
      </c>
    </row>
    <row r="10" customFormat="false" ht="15" hidden="false" customHeight="false" outlineLevel="0" collapsed="false">
      <c r="A10" s="0" t="s">
        <v>2554</v>
      </c>
      <c r="B10" s="5" t="n">
        <v>110286.65</v>
      </c>
      <c r="C10" s="5" t="n">
        <v>76170.3</v>
      </c>
    </row>
    <row r="11" customFormat="false" ht="15" hidden="false" customHeight="false" outlineLevel="0" collapsed="false">
      <c r="A11" s="0" t="s">
        <v>2555</v>
      </c>
      <c r="B11" s="5" t="n">
        <v>179731.45</v>
      </c>
      <c r="C11" s="5" t="n">
        <v>92068.6</v>
      </c>
    </row>
    <row r="12" customFormat="false" ht="15" hidden="false" customHeight="false" outlineLevel="0" collapsed="false">
      <c r="A12" s="0" t="s">
        <v>2556</v>
      </c>
      <c r="B12" s="5" t="n">
        <v>174108.2</v>
      </c>
      <c r="C12" s="5" t="n">
        <v>106427.6</v>
      </c>
    </row>
    <row r="13" customFormat="false" ht="15" hidden="false" customHeight="false" outlineLevel="0" collapsed="false">
      <c r="A13" s="0" t="s">
        <v>2557</v>
      </c>
      <c r="B13" s="5" t="n">
        <v>79139.85</v>
      </c>
      <c r="C13" s="5" t="n">
        <v>167576.8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2026-09-22T16:13:53Z</dcterms:created>
  <dc:creator>openpyxl</dc:creator>
  <dc:description/>
  <dc:language>en-US</dc:language>
  <cp:lastModifiedBy/>
  <dcterms:modified xsi:type="dcterms:W3CDTF">2026-09-22T16:13:53Z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